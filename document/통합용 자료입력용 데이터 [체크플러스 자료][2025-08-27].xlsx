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W:\[진행] 관리항목\관리소프트웨어 제작의뢰준비\"/>
    </mc:Choice>
  </mc:AlternateContent>
  <xr:revisionPtr revIDLastSave="0" documentId="13_ncr:1_{963FF523-1E3B-4CBC-A7B5-BA84F6B532E4}" xr6:coauthVersionLast="47" xr6:coauthVersionMax="47" xr10:uidLastSave="{00000000-0000-0000-0000-000000000000}"/>
  <bookViews>
    <workbookView xWindow="30612" yWindow="-108" windowWidth="30936" windowHeight="16776" firstSheet="1" activeTab="6" xr2:uid="{00000000-000D-0000-FFFF-FFFF00000000}"/>
    <workbookView xWindow="-108" yWindow="-108" windowWidth="30936" windowHeight="16776" firstSheet="3" activeTab="7" xr2:uid="{B78B60BB-14BB-45D7-9D72-796D70F19455}"/>
  </bookViews>
  <sheets>
    <sheet name="거래처_판매처정보" sheetId="1" r:id="rId1"/>
    <sheet name="거래_프로젝트정보" sheetId="9" r:id="rId2"/>
    <sheet name="제품_네트워크(WIFI)" sheetId="3" r:id="rId3"/>
    <sheet name="제품_네트워크(LTE)" sheetId="4" r:id="rId4"/>
    <sheet name="거래_체크플러스정보" sheetId="6" r:id="rId5"/>
    <sheet name="제품_제품정보" sheetId="2" r:id="rId6"/>
    <sheet name="거래_거래정보" sheetId="5" r:id="rId7"/>
    <sheet name="세금계산서_세금계산서정보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8" l="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7" i="8"/>
  <c r="B42" i="8"/>
  <c r="B37" i="8"/>
  <c r="B28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9" i="8"/>
  <c r="B30" i="8"/>
  <c r="B31" i="8"/>
  <c r="B32" i="8"/>
  <c r="B33" i="8"/>
  <c r="B34" i="8"/>
  <c r="B35" i="8"/>
  <c r="B36" i="8"/>
  <c r="B38" i="8"/>
  <c r="B39" i="8"/>
  <c r="B40" i="8"/>
  <c r="B41" i="8"/>
  <c r="B7" i="8"/>
  <c r="M24" i="5"/>
  <c r="M23" i="5"/>
  <c r="M22" i="5"/>
  <c r="M21" i="5"/>
  <c r="T21" i="5"/>
  <c r="B21" i="5"/>
  <c r="T17" i="5"/>
  <c r="M17" i="5"/>
  <c r="B17" i="5"/>
  <c r="T24" i="5"/>
  <c r="B24" i="5"/>
  <c r="T20" i="5"/>
  <c r="M20" i="5"/>
  <c r="B20" i="5"/>
  <c r="B22" i="5"/>
  <c r="T22" i="5"/>
  <c r="T19" i="5" l="1"/>
  <c r="T23" i="5"/>
  <c r="M19" i="5"/>
  <c r="T18" i="5"/>
  <c r="M18" i="5"/>
  <c r="T16" i="5"/>
  <c r="M16" i="5"/>
  <c r="T7" i="8"/>
  <c r="B7" i="9"/>
  <c r="S8" i="2"/>
  <c r="S9" i="2"/>
  <c r="S10" i="2"/>
  <c r="S11" i="2"/>
  <c r="S12" i="2"/>
  <c r="S13" i="2"/>
  <c r="X7" i="2"/>
  <c r="B21" i="9"/>
  <c r="B20" i="9"/>
  <c r="B19" i="9"/>
  <c r="B18" i="9"/>
  <c r="B17" i="9"/>
  <c r="B16" i="9"/>
  <c r="B15" i="9"/>
  <c r="B14" i="9"/>
  <c r="B13" i="9"/>
  <c r="B12" i="9"/>
  <c r="B10" i="9"/>
  <c r="B9" i="9"/>
  <c r="B8" i="9"/>
  <c r="B11" i="4"/>
  <c r="B12" i="4"/>
  <c r="B7" i="1"/>
  <c r="T15" i="5"/>
  <c r="T14" i="5"/>
  <c r="M15" i="5"/>
  <c r="M14" i="5"/>
  <c r="T13" i="5"/>
  <c r="M13" i="5"/>
  <c r="T12" i="5"/>
  <c r="M12" i="5"/>
  <c r="B12" i="5"/>
  <c r="M10" i="5"/>
  <c r="T11" i="5"/>
  <c r="M8" i="5"/>
  <c r="M9" i="5"/>
  <c r="T8" i="5"/>
  <c r="T9" i="5"/>
  <c r="T7" i="5"/>
  <c r="M7" i="5"/>
  <c r="B7" i="5"/>
  <c r="M11" i="5"/>
  <c r="B19" i="6"/>
  <c r="B15" i="5"/>
  <c r="B19" i="1"/>
  <c r="B18" i="1"/>
  <c r="B8" i="5"/>
  <c r="B9" i="5"/>
  <c r="B13" i="5"/>
  <c r="B14" i="5"/>
  <c r="B16" i="5"/>
  <c r="B18" i="5"/>
  <c r="B19" i="5"/>
  <c r="B23" i="5"/>
  <c r="B11" i="3"/>
  <c r="B10" i="3"/>
  <c r="B8" i="3"/>
  <c r="B9" i="3"/>
  <c r="B12" i="3"/>
  <c r="B13" i="3"/>
  <c r="B14" i="3"/>
  <c r="B15" i="3"/>
  <c r="B16" i="3"/>
  <c r="B17" i="3"/>
  <c r="B18" i="3"/>
  <c r="B19" i="3"/>
  <c r="B20" i="3"/>
  <c r="B21" i="3"/>
  <c r="B22" i="3"/>
  <c r="B18" i="6"/>
  <c r="B17" i="6"/>
  <c r="B16" i="6"/>
  <c r="B15" i="6"/>
  <c r="B14" i="6"/>
  <c r="B13" i="6"/>
  <c r="B12" i="6"/>
  <c r="B11" i="6"/>
  <c r="B10" i="6"/>
  <c r="B9" i="6"/>
  <c r="B8" i="6"/>
  <c r="B11" i="5"/>
  <c r="B7" i="4"/>
  <c r="B8" i="4"/>
  <c r="B9" i="4"/>
  <c r="B10" i="4"/>
  <c r="B16" i="4"/>
  <c r="B15" i="4"/>
  <c r="B14" i="4"/>
  <c r="B13" i="4"/>
  <c r="S7" i="2"/>
  <c r="B7" i="3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11" i="1"/>
  <c r="B17" i="1"/>
  <c r="B16" i="1"/>
  <c r="B15" i="1"/>
  <c r="B14" i="1"/>
  <c r="B13" i="1"/>
  <c r="B12" i="1"/>
  <c r="B10" i="1"/>
  <c r="B9" i="1"/>
  <c r="B7" i="6" l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E9F505E3-8758-40E1-A248-418EDFD2B379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EDDE302D-2FA2-41DF-9BA3-B59613CE301F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C8EB736C-3DDD-44C2-A18C-55DDD8D88E42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CECCD482-318E-4133-A45C-07664523190C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212679DF-271B-4CD2-9155-B40182F885E7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DD11BD03-1140-44F6-A7F7-CA5320F8A419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" authorId="0" shapeId="0" xr:uid="{C05F2419-AEC7-44B8-8AA2-B616CEB12458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ADE279F7-29CF-4929-8ED3-7E1417097851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</author>
  </authors>
  <commentList>
    <comment ref="B6" authorId="0" shapeId="0" xr:uid="{EC2D0294-7F88-4091-A5F6-8CF177FB940B}">
      <text>
        <r>
          <rPr>
            <b/>
            <sz val="9"/>
            <color indexed="81"/>
            <rFont val="Tahoma"/>
            <family val="2"/>
          </rPr>
          <t>TT: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<sst xmlns="http://schemas.openxmlformats.org/spreadsheetml/2006/main" count="1473" uniqueCount="614">
  <si>
    <t>시스템 입고 관리항목</t>
    <phoneticPr fontId="1" type="noConversion"/>
  </si>
  <si>
    <t>순서</t>
    <phoneticPr fontId="1" type="noConversion"/>
  </si>
  <si>
    <t>업체고유번호</t>
    <phoneticPr fontId="1" type="noConversion"/>
  </si>
  <si>
    <t>판매업체</t>
    <phoneticPr fontId="1" type="noConversion"/>
  </si>
  <si>
    <t>주소</t>
    <phoneticPr fontId="1" type="noConversion"/>
  </si>
  <si>
    <t>담당자이름</t>
    <phoneticPr fontId="1" type="noConversion"/>
  </si>
  <si>
    <t>담당자부서</t>
    <phoneticPr fontId="1" type="noConversion"/>
  </si>
  <si>
    <t>담당자직책</t>
    <phoneticPr fontId="1" type="noConversion"/>
  </si>
  <si>
    <t>핸드폰번호</t>
    <phoneticPr fontId="1" type="noConversion"/>
  </si>
  <si>
    <t>이메일</t>
    <phoneticPr fontId="1" type="noConversion"/>
  </si>
  <si>
    <t>거래처  /  판매처정보</t>
    <phoneticPr fontId="1" type="noConversion"/>
  </si>
  <si>
    <t>제품  /  제품정보</t>
    <phoneticPr fontId="1" type="noConversion"/>
  </si>
  <si>
    <t>제품명</t>
    <phoneticPr fontId="1" type="noConversion"/>
  </si>
  <si>
    <t>모델종류</t>
    <phoneticPr fontId="1" type="noConversion"/>
  </si>
  <si>
    <t>용접종류</t>
    <phoneticPr fontId="1" type="noConversion"/>
  </si>
  <si>
    <t>부속장비</t>
    <phoneticPr fontId="1" type="noConversion"/>
  </si>
  <si>
    <t>AP_WIFI_ID</t>
    <phoneticPr fontId="1" type="noConversion"/>
  </si>
  <si>
    <t>AP_WIFI_PW</t>
    <phoneticPr fontId="1" type="noConversion"/>
  </si>
  <si>
    <t>비고(제품정보)</t>
    <phoneticPr fontId="1" type="noConversion"/>
  </si>
  <si>
    <t>설치일자</t>
    <phoneticPr fontId="1" type="noConversion"/>
  </si>
  <si>
    <t>제품  /  네트워크(WIFI)</t>
    <phoneticPr fontId="1" type="noConversion"/>
  </si>
  <si>
    <t>AP_모델명</t>
    <phoneticPr fontId="1" type="noConversion"/>
  </si>
  <si>
    <t>AP_GATE_ID</t>
    <phoneticPr fontId="1" type="noConversion"/>
  </si>
  <si>
    <t>AP_GATE_PW</t>
    <phoneticPr fontId="1" type="noConversion"/>
  </si>
  <si>
    <t>제품  /  네트워크(LTE)</t>
    <phoneticPr fontId="1" type="noConversion"/>
  </si>
  <si>
    <t>LTE_모델명</t>
    <phoneticPr fontId="1" type="noConversion"/>
  </si>
  <si>
    <t>LTE_GATE_ID</t>
  </si>
  <si>
    <t>LTE_GATE_PW</t>
  </si>
  <si>
    <t>LTE_WIFI_ID</t>
  </si>
  <si>
    <t>LTE_WIFI_PW</t>
  </si>
  <si>
    <t>LTE_단말기일련번호</t>
    <phoneticPr fontId="1" type="noConversion"/>
  </si>
  <si>
    <t>LTE_유심일련번호</t>
    <phoneticPr fontId="1" type="noConversion"/>
  </si>
  <si>
    <t>LTE_전화번호(상품)</t>
    <phoneticPr fontId="1" type="noConversion"/>
  </si>
  <si>
    <t>거래  /  거래정보</t>
    <phoneticPr fontId="1" type="noConversion"/>
  </si>
  <si>
    <t>거래고유번호</t>
    <phoneticPr fontId="1" type="noConversion"/>
  </si>
  <si>
    <t>계약일[발주일]</t>
    <phoneticPr fontId="1" type="noConversion"/>
  </si>
  <si>
    <t>사용시작일[SW시작일]</t>
    <phoneticPr fontId="1" type="noConversion"/>
  </si>
  <si>
    <t>체크플러스ID</t>
    <phoneticPr fontId="1" type="noConversion"/>
  </si>
  <si>
    <t>체크플러스PW</t>
    <phoneticPr fontId="1" type="noConversion"/>
  </si>
  <si>
    <t>판매수량</t>
    <phoneticPr fontId="1" type="noConversion"/>
  </si>
  <si>
    <t>제품정보</t>
    <phoneticPr fontId="1" type="noConversion"/>
  </si>
  <si>
    <t>SW사용단가</t>
    <phoneticPr fontId="1" type="noConversion"/>
  </si>
  <si>
    <t>거래  /  체크플러스 정보</t>
    <phoneticPr fontId="1" type="noConversion"/>
  </si>
  <si>
    <t>체크플러스고유번호</t>
    <phoneticPr fontId="1" type="noConversion"/>
  </si>
  <si>
    <t>비고(체크플러스)</t>
  </si>
  <si>
    <t>세금계산서  /  세금계산서 정보</t>
    <phoneticPr fontId="1" type="noConversion"/>
  </si>
  <si>
    <t>세금계산서고유번호</t>
    <phoneticPr fontId="1" type="noConversion"/>
  </si>
  <si>
    <t>세금계산서종류</t>
    <phoneticPr fontId="1" type="noConversion"/>
  </si>
  <si>
    <t>세금계산서발행일</t>
    <phoneticPr fontId="1" type="noConversion"/>
  </si>
  <si>
    <t>사용료 사용시작일</t>
    <phoneticPr fontId="1" type="noConversion"/>
  </si>
  <si>
    <t>사용료 사용종료일</t>
    <phoneticPr fontId="1" type="noConversion"/>
  </si>
  <si>
    <t>SW사용료 단가</t>
    <phoneticPr fontId="1" type="noConversion"/>
  </si>
  <si>
    <t>SW사용료 수량</t>
    <phoneticPr fontId="1" type="noConversion"/>
  </si>
  <si>
    <t>계산서 발행금액</t>
    <phoneticPr fontId="1" type="noConversion"/>
  </si>
  <si>
    <t>입금완료일</t>
    <phoneticPr fontId="1" type="noConversion"/>
  </si>
  <si>
    <t>125-81-01234</t>
    <phoneticPr fontId="1" type="noConversion"/>
  </si>
  <si>
    <t>경기도 평택시 서탄면 수월암길 95</t>
    <phoneticPr fontId="1" type="noConversion"/>
  </si>
  <si>
    <t>850-86-01581</t>
    <phoneticPr fontId="1" type="noConversion"/>
  </si>
  <si>
    <t>경기도 화성시 동탄기흥로 602 1401호</t>
    <phoneticPr fontId="1" type="noConversion"/>
  </si>
  <si>
    <t>132-86-10245</t>
    <phoneticPr fontId="1" type="noConversion"/>
  </si>
  <si>
    <t>134-81-46007</t>
    <phoneticPr fontId="1" type="noConversion"/>
  </si>
  <si>
    <t>에스비엠주식회사</t>
    <phoneticPr fontId="1" type="noConversion"/>
  </si>
  <si>
    <t>경기도 시흥시 군자천로81번길 91</t>
    <phoneticPr fontId="1" type="noConversion"/>
  </si>
  <si>
    <t>120-87-52157</t>
    <phoneticPr fontId="1" type="noConversion"/>
  </si>
  <si>
    <t>부산 강서구 화전산단5로 117번길 35</t>
    <phoneticPr fontId="1" type="noConversion"/>
  </si>
  <si>
    <t>경기도 평택시 청북읍 청북중앙로 9-63</t>
    <phoneticPr fontId="1" type="noConversion"/>
  </si>
  <si>
    <t>266-86-00531</t>
    <phoneticPr fontId="1" type="noConversion"/>
  </si>
  <si>
    <t>에이치디현대일렉트릭</t>
    <phoneticPr fontId="1" type="noConversion"/>
  </si>
  <si>
    <t>178-81-01086</t>
    <phoneticPr fontId="1" type="noConversion"/>
  </si>
  <si>
    <t>울산광역시 동구 방어진순환도로 1000, 현대중공업 중앙기술원 복합시험동(전하동)</t>
    <phoneticPr fontId="1" type="noConversion"/>
  </si>
  <si>
    <t>622-81-05973</t>
    <phoneticPr fontId="1" type="noConversion"/>
  </si>
  <si>
    <t>경상남도 김해서 분성로 602 (안동)</t>
    <phoneticPr fontId="1" type="noConversion"/>
  </si>
  <si>
    <t>20221006-41000016-17643921</t>
    <phoneticPr fontId="1" type="noConversion"/>
  </si>
  <si>
    <t>20221201-41000016-19779327</t>
    <phoneticPr fontId="1" type="noConversion"/>
  </si>
  <si>
    <t>클라우드 서버 이용료 [3개월]</t>
    <phoneticPr fontId="1" type="noConversion"/>
  </si>
  <si>
    <t>클라우드 서버 이용료 [1개월]</t>
    <phoneticPr fontId="1" type="noConversion"/>
  </si>
  <si>
    <t>디바이스 매출계산서 (3st)</t>
    <phoneticPr fontId="1" type="noConversion"/>
  </si>
  <si>
    <t>20220803-41000016-15322402</t>
  </si>
  <si>
    <t>CO2 power source 및 설치공사</t>
    <phoneticPr fontId="1" type="noConversion"/>
  </si>
  <si>
    <t>20220831-41000016-16125175</t>
  </si>
  <si>
    <t>20220831-41000016-16125055</t>
  </si>
  <si>
    <t>모니터링 디바이스WS-monitor 8st 및 공사비용</t>
    <phoneticPr fontId="1" type="noConversion"/>
  </si>
  <si>
    <t>모니터링 디바이스WS-monitor 5st 및 공사비용</t>
    <phoneticPr fontId="1" type="noConversion"/>
  </si>
  <si>
    <t>20220831-41000016-16125297</t>
  </si>
  <si>
    <t>에스엠 및 에스비테크 모니터링 이용료 청구업체</t>
    <phoneticPr fontId="1" type="noConversion"/>
  </si>
  <si>
    <t>20231213410000616wnocubt</t>
  </si>
  <si>
    <r>
      <t>모니터링 소프트웨서 사용료 (</t>
    </r>
    <r>
      <rPr>
        <sz val="11"/>
        <color rgb="FFFF0000"/>
        <rFont val="맑은 고딕"/>
        <family val="3"/>
        <charset val="129"/>
        <scheme val="minor"/>
      </rPr>
      <t>2대/12개월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</si>
  <si>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소프트웨어 및 시스템이용료 (</t>
    </r>
    <r>
      <rPr>
        <sz val="11"/>
        <color rgb="FFFF0000"/>
        <rFont val="맑은 고딕"/>
        <family val="3"/>
        <charset val="129"/>
        <scheme val="minor"/>
      </rPr>
      <t>8대/36개월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</si>
  <si>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소프트웨어 및 시스템이용료 (</t>
    </r>
    <r>
      <rPr>
        <sz val="11"/>
        <color rgb="FFFF0000"/>
        <rFont val="맑은 고딕"/>
        <family val="3"/>
        <charset val="129"/>
        <scheme val="minor"/>
      </rPr>
      <t>5대/36개월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</si>
  <si>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체크플러스 서비스이용료 (</t>
    </r>
    <r>
      <rPr>
        <sz val="11"/>
        <color rgb="FFFF0000"/>
        <rFont val="맑은 고딕"/>
        <family val="3"/>
        <charset val="129"/>
        <scheme val="minor"/>
      </rPr>
      <t>3대/36개월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</si>
  <si>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모니터링 시스템 선수금</t>
    <phoneticPr fontId="1" type="noConversion"/>
  </si>
  <si>
    <t>모니터링 CO2 디바이스 3대 및 설치비</t>
    <phoneticPr fontId="1" type="noConversion"/>
  </si>
  <si>
    <t xml:space="preserve"> </t>
    <phoneticPr fontId="1" type="noConversion"/>
  </si>
  <si>
    <t>20240131410000616wqe5b3c</t>
  </si>
  <si>
    <t>202304204100006145c5v2sv</t>
    <phoneticPr fontId="1" type="noConversion"/>
  </si>
  <si>
    <t>모니터링 디바이스(TIG) WS-Monitor(T) 3대</t>
    <phoneticPr fontId="1" type="noConversion"/>
  </si>
  <si>
    <t>모니터링 디바이스(CO2) WS-Monitor(C) 3대</t>
    <phoneticPr fontId="1" type="noConversion"/>
  </si>
  <si>
    <t>TIG 연결박스 WS-JBOX(T) [고주파 진입차단 및 센서 내장] 3대</t>
    <phoneticPr fontId="1" type="noConversion"/>
  </si>
  <si>
    <t>202304204100006145h61djo</t>
  </si>
  <si>
    <t>용접데이터 수집장비 시스템 구축용 무선네트워크 장치 설치비</t>
  </si>
  <si>
    <r>
      <t>체크플러스 서비스이용료 (</t>
    </r>
    <r>
      <rPr>
        <sz val="11"/>
        <color rgb="FFFF0000"/>
        <rFont val="맑은 고딕"/>
        <family val="3"/>
        <charset val="129"/>
        <scheme val="minor"/>
      </rPr>
      <t>1대/12개월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</si>
  <si>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20241226-41000047-r0177796</t>
    <phoneticPr fontId="1" type="noConversion"/>
  </si>
  <si>
    <t>모니터링 디바이스(CO2) [WS-Monitor(C)] 3대</t>
    <phoneticPr fontId="1" type="noConversion"/>
  </si>
  <si>
    <t>모니터링용 네트워크 공사비용</t>
    <phoneticPr fontId="1" type="noConversion"/>
  </si>
  <si>
    <r>
      <t>체크플러스 서비스이용료 (</t>
    </r>
    <r>
      <rPr>
        <sz val="11"/>
        <color rgb="FFFF0000"/>
        <rFont val="맑은 고딕"/>
        <family val="3"/>
        <charset val="129"/>
        <scheme val="minor"/>
      </rPr>
      <t>3대/12개월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</si>
  <si>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20250225-41000047-r0182243</t>
    <phoneticPr fontId="1" type="noConversion"/>
  </si>
  <si>
    <t>함춘승</t>
    <phoneticPr fontId="1" type="noConversion"/>
  </si>
  <si>
    <t>대표</t>
    <phoneticPr fontId="1" type="noConversion"/>
  </si>
  <si>
    <t>010-5474-9743</t>
    <phoneticPr fontId="1" type="noConversion"/>
  </si>
  <si>
    <t>hamchunseung2@gmail.com</t>
    <phoneticPr fontId="1" type="noConversion"/>
  </si>
  <si>
    <t>유은병</t>
    <phoneticPr fontId="1" type="noConversion"/>
  </si>
  <si>
    <t>팀장</t>
    <phoneticPr fontId="1" type="noConversion"/>
  </si>
  <si>
    <t>양산생산기술팀</t>
    <phoneticPr fontId="1" type="noConversion"/>
  </si>
  <si>
    <t>010-9419-3126</t>
    <phoneticPr fontId="1" type="noConversion"/>
  </si>
  <si>
    <t>yeb0608@kdiwin.com</t>
    <phoneticPr fontId="1" type="noConversion"/>
  </si>
  <si>
    <t>88강재</t>
    <phoneticPr fontId="1" type="noConversion"/>
  </si>
  <si>
    <t>경동나비엔</t>
    <phoneticPr fontId="1" type="noConversion"/>
  </si>
  <si>
    <t>현대티에스</t>
    <phoneticPr fontId="1" type="noConversion"/>
  </si>
  <si>
    <t>김대영</t>
    <phoneticPr fontId="1" type="noConversion"/>
  </si>
  <si>
    <t>010-5567-2140</t>
    <phoneticPr fontId="1" type="noConversion"/>
  </si>
  <si>
    <t>dykim1206@gmail.com</t>
    <phoneticPr fontId="1" type="noConversion"/>
  </si>
  <si>
    <t>김형건</t>
    <phoneticPr fontId="1" type="noConversion"/>
  </si>
  <si>
    <t>이사</t>
    <phoneticPr fontId="1" type="noConversion"/>
  </si>
  <si>
    <t>이주영</t>
    <phoneticPr fontId="1" type="noConversion"/>
  </si>
  <si>
    <t>차장</t>
    <phoneticPr fontId="1" type="noConversion"/>
  </si>
  <si>
    <t>STS생산팀</t>
    <phoneticPr fontId="1" type="noConversion"/>
  </si>
  <si>
    <t>010-4538-7305</t>
    <phoneticPr fontId="1" type="noConversion"/>
  </si>
  <si>
    <t>jyleea@lsmetal.biz</t>
    <phoneticPr fontId="1" type="noConversion"/>
  </si>
  <si>
    <t>에스비테크</t>
    <phoneticPr fontId="1" type="noConversion"/>
  </si>
  <si>
    <t>경기도 시흥시 군자천로 81번길 89</t>
    <phoneticPr fontId="1" type="noConversion"/>
  </si>
  <si>
    <t>김기현</t>
    <phoneticPr fontId="1" type="noConversion"/>
  </si>
  <si>
    <t>010-4161-3557</t>
    <phoneticPr fontId="1" type="noConversion"/>
  </si>
  <si>
    <t>sb_team@hanmail.net</t>
    <phoneticPr fontId="1" type="noConversion"/>
  </si>
  <si>
    <t>에이치디현대일렉트릭</t>
  </si>
  <si>
    <t>010-6316-3557</t>
    <phoneticPr fontId="1" type="noConversion"/>
  </si>
  <si>
    <t>sbm1@hanmail.net</t>
    <phoneticPr fontId="1" type="noConversion"/>
  </si>
  <si>
    <t>에스비엠</t>
    <phoneticPr fontId="1" type="noConversion"/>
  </si>
  <si>
    <t>코어엠</t>
    <phoneticPr fontId="1" type="noConversion"/>
  </si>
  <si>
    <t>서울시 서초구 서초중앙로 75, 402호(동굴빌딩)</t>
    <phoneticPr fontId="1" type="noConversion"/>
  </si>
  <si>
    <t>한상웅</t>
    <phoneticPr fontId="1" type="noConversion"/>
  </si>
  <si>
    <t>010-4035-6366</t>
    <phoneticPr fontId="1" type="noConversion"/>
  </si>
  <si>
    <t>fimkohan@naver.com</t>
    <phoneticPr fontId="1" type="noConversion"/>
  </si>
  <si>
    <t>정승일</t>
    <phoneticPr fontId="1" type="noConversion"/>
  </si>
  <si>
    <t>부장</t>
    <phoneticPr fontId="1" type="noConversion"/>
  </si>
  <si>
    <t>전략기획팀</t>
    <phoneticPr fontId="1" type="noConversion"/>
  </si>
  <si>
    <t>010-4270-1663</t>
    <phoneticPr fontId="1" type="noConversion"/>
  </si>
  <si>
    <t>sijung@hungil.co.kr</t>
    <phoneticPr fontId="1" type="noConversion"/>
  </si>
  <si>
    <t>흥일기업</t>
    <phoneticPr fontId="1" type="noConversion"/>
  </si>
  <si>
    <t>울산광역시 동구 방어진순환도로 700</t>
    <phoneticPr fontId="1" type="noConversion"/>
  </si>
  <si>
    <t>김대용</t>
    <phoneticPr fontId="1" type="noConversion"/>
  </si>
  <si>
    <t>품질경영팀</t>
    <phoneticPr fontId="1" type="noConversion"/>
  </si>
  <si>
    <t>책임</t>
    <phoneticPr fontId="1" type="noConversion"/>
  </si>
  <si>
    <t>010-9276-5344</t>
    <phoneticPr fontId="1" type="noConversion"/>
  </si>
  <si>
    <t>kim.daeyoung@hd.com</t>
    <phoneticPr fontId="1" type="noConversion"/>
  </si>
  <si>
    <t>컴윈스</t>
  </si>
  <si>
    <t>WS-Monitor(일반형)</t>
    <phoneticPr fontId="1" type="noConversion"/>
  </si>
  <si>
    <t>CO2</t>
  </si>
  <si>
    <t>nesystemAP</t>
  </si>
  <si>
    <t>0317641642#</t>
  </si>
  <si>
    <r>
      <rPr>
        <sz val="11"/>
        <color rgb="FF000000"/>
        <rFont val="맑은 고딕"/>
        <family val="3"/>
        <charset val="129"/>
      </rPr>
      <t>경기도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시흥시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소망공원로</t>
    </r>
    <r>
      <rPr>
        <sz val="11"/>
        <color rgb="FF000000"/>
        <rFont val="Arial"/>
        <family val="2"/>
      </rPr>
      <t xml:space="preserve"> 293</t>
    </r>
    <phoneticPr fontId="1" type="noConversion"/>
  </si>
  <si>
    <t>COM-MIG-002</t>
  </si>
  <si>
    <t>WS-Monitor(일반형)</t>
  </si>
  <si>
    <t>경기도 시흥시 소망공원로 293</t>
  </si>
  <si>
    <t>COM-MIG-003</t>
  </si>
  <si>
    <t>HDEL-CO2-001</t>
  </si>
  <si>
    <t>울산 동구 방어진순환도로 700</t>
  </si>
  <si>
    <t>HDEL-CO2-002</t>
    <phoneticPr fontId="1" type="noConversion"/>
  </si>
  <si>
    <t>울산 동구 방어진순환도로 701</t>
  </si>
  <si>
    <t>HDEL-CO2-003</t>
  </si>
  <si>
    <t>울산 동구 방어진순환도로 702</t>
  </si>
  <si>
    <t>HDEL-CO2-004</t>
  </si>
  <si>
    <t>울산 동구 방어진순환도로 703</t>
  </si>
  <si>
    <t>HDEL-CO21-001</t>
    <phoneticPr fontId="1" type="noConversion"/>
  </si>
  <si>
    <t>울산 동구 방어진순환도로 704</t>
  </si>
  <si>
    <t>HDEL-CO21-002</t>
    <phoneticPr fontId="1" type="noConversion"/>
  </si>
  <si>
    <t>울산 동구 방어진순환도로 705</t>
  </si>
  <si>
    <t>HDEL-CO21-003</t>
  </si>
  <si>
    <t>울산 동구 방어진순환도로 706</t>
  </si>
  <si>
    <t>HDEL-CO21-004</t>
  </si>
  <si>
    <t>울산 동구 방어진순환도로 707</t>
  </si>
  <si>
    <t>HDEL-CO21-005</t>
  </si>
  <si>
    <t>울산 동구 방어진순환도로 708</t>
  </si>
  <si>
    <t>HDEL-CO21-006</t>
  </si>
  <si>
    <t>울산 동구 방어진순환도로 709</t>
  </si>
  <si>
    <t>LS-SAW-001</t>
  </si>
  <si>
    <t>WS-Monitor(CUSTOM2)</t>
    <phoneticPr fontId="1" type="noConversion"/>
  </si>
  <si>
    <t>SAW</t>
  </si>
  <si>
    <t>속도 - DC10V
온도 - 485</t>
    <phoneticPr fontId="1" type="noConversion"/>
  </si>
  <si>
    <t>LS-SAW-002</t>
  </si>
  <si>
    <t>LS-SAW-003</t>
  </si>
  <si>
    <t>제품  /  제품부속장비</t>
    <phoneticPr fontId="1" type="noConversion"/>
  </si>
  <si>
    <t>HIL-CO2-001</t>
    <phoneticPr fontId="1" type="noConversion"/>
  </si>
  <si>
    <t>HIL-CO2-002</t>
  </si>
  <si>
    <t>HIL-CO2-003</t>
  </si>
  <si>
    <t>HIL-TIG-001</t>
    <phoneticPr fontId="1" type="noConversion"/>
  </si>
  <si>
    <t>HIL-TIG-002</t>
  </si>
  <si>
    <t>HIL-TIG-003</t>
  </si>
  <si>
    <t>CO2</t>
    <phoneticPr fontId="1" type="noConversion"/>
  </si>
  <si>
    <t>TIG</t>
    <phoneticPr fontId="1" type="noConversion"/>
  </si>
  <si>
    <t>-</t>
  </si>
  <si>
    <t>-</t>
    <phoneticPr fontId="1" type="noConversion"/>
  </si>
  <si>
    <t>현대제철</t>
    <phoneticPr fontId="1" type="noConversion"/>
  </si>
  <si>
    <t>HS-CO2-002</t>
    <phoneticPr fontId="1" type="noConversion"/>
  </si>
  <si>
    <t>HDTS-MIG-01</t>
    <phoneticPr fontId="1" type="noConversion"/>
  </si>
  <si>
    <t>nesystemAP</t>
    <phoneticPr fontId="1" type="noConversion"/>
  </si>
  <si>
    <t>SBM-TIG-001</t>
    <phoneticPr fontId="1" type="noConversion"/>
  </si>
  <si>
    <t>SBM-TIG-002</t>
  </si>
  <si>
    <t>SBM-TIG-003</t>
  </si>
  <si>
    <t>SBM-TIG-004</t>
  </si>
  <si>
    <t>SBM-TIG-005</t>
  </si>
  <si>
    <t>SBM-TIG-006</t>
  </si>
  <si>
    <t>SBM-TIG-007</t>
  </si>
  <si>
    <t>SBM-TIG-008</t>
  </si>
  <si>
    <t>SBTE-TIG-01</t>
    <phoneticPr fontId="1" type="noConversion"/>
  </si>
  <si>
    <t>SBTE-TIG-02</t>
  </si>
  <si>
    <t>SBTE-TIG-03</t>
  </si>
  <si>
    <t>SBTE-TIG-04</t>
  </si>
  <si>
    <t>SBTE-TIG-05</t>
  </si>
  <si>
    <t>KDN-TIG-01</t>
    <phoneticPr fontId="1" type="noConversion"/>
  </si>
  <si>
    <t>KDN-TIG-02</t>
  </si>
  <si>
    <t>KDN-TIG-03</t>
  </si>
  <si>
    <t>88-CO2-01</t>
    <phoneticPr fontId="1" type="noConversion"/>
  </si>
  <si>
    <t>88-CO2-02</t>
  </si>
  <si>
    <t>88-CO2-03</t>
  </si>
  <si>
    <t>88-CO2-04</t>
  </si>
  <si>
    <t>Paragon600T</t>
    <phoneticPr fontId="1" type="noConversion"/>
  </si>
  <si>
    <t>경상남도 김해시 분성로 602(안동)</t>
    <phoneticPr fontId="1" type="noConversion"/>
  </si>
  <si>
    <t>인천광역시 동구 중봉대로 63</t>
    <phoneticPr fontId="1" type="noConversion"/>
  </si>
  <si>
    <t>울산시 울주군 온산읍 덕신로 355</t>
    <phoneticPr fontId="1" type="noConversion"/>
  </si>
  <si>
    <t>경상북도 경산시 진량읍 시문리 197번지</t>
    <phoneticPr fontId="1" type="noConversion"/>
  </si>
  <si>
    <t>컴윈스</t>
    <phoneticPr fontId="1" type="noConversion"/>
  </si>
  <si>
    <t>김철환</t>
    <phoneticPr fontId="1" type="noConversion"/>
  </si>
  <si>
    <t>010-2230-5330</t>
    <phoneticPr fontId="1" type="noConversion"/>
  </si>
  <si>
    <t>기술기획</t>
    <phoneticPr fontId="1" type="noConversion"/>
  </si>
  <si>
    <t>sclub78@dmtek.co.kr</t>
    <phoneticPr fontId="1" type="noConversion"/>
  </si>
  <si>
    <t>494-86-01154</t>
    <phoneticPr fontId="1" type="noConversion"/>
  </si>
  <si>
    <t>259-86-00585</t>
    <phoneticPr fontId="1" type="noConversion"/>
  </si>
  <si>
    <t>N704SE (IPTIME)</t>
  </si>
  <si>
    <t>N704SR (IPTIME)</t>
  </si>
  <si>
    <t>LG [012-2211-9908]</t>
  </si>
  <si>
    <t>LG [012-2241-6980]</t>
  </si>
  <si>
    <t>LG [012-2241-9375]</t>
  </si>
  <si>
    <t>LG [012-2241-7011]</t>
  </si>
  <si>
    <t>LG [012-2241-6911]</t>
  </si>
  <si>
    <t>LG [012-2241-4487]</t>
  </si>
  <si>
    <t>admin</t>
  </si>
  <si>
    <t>1234admin#</t>
  </si>
  <si>
    <t>#234567!</t>
  </si>
  <si>
    <t>CNR_L580W_309012</t>
  </si>
  <si>
    <t>CNR_L580W_309016</t>
    <phoneticPr fontId="1" type="noConversion"/>
  </si>
  <si>
    <t>CNR_L580W_309014</t>
    <phoneticPr fontId="1" type="noConversion"/>
  </si>
  <si>
    <t>CNR_L580W_309010</t>
    <phoneticPr fontId="1" type="noConversion"/>
  </si>
  <si>
    <t>CNR_L580W</t>
    <phoneticPr fontId="1" type="noConversion"/>
  </si>
  <si>
    <t>비고(LTE)</t>
    <phoneticPr fontId="1" type="noConversion"/>
  </si>
  <si>
    <t>LG [012-2029-7509]</t>
    <phoneticPr fontId="1" type="noConversion"/>
  </si>
  <si>
    <t>가입일</t>
    <phoneticPr fontId="1" type="noConversion"/>
  </si>
  <si>
    <t>약정</t>
    <phoneticPr fontId="1" type="noConversion"/>
  </si>
  <si>
    <t>무약정</t>
    <phoneticPr fontId="1" type="noConversion"/>
  </si>
  <si>
    <t>1년에 한번 LTE 요금청구 / ORBI 연결</t>
    <phoneticPr fontId="1" type="noConversion"/>
  </si>
  <si>
    <t>1년에 한번 LTE 요구청구 / IPTIME 연결</t>
    <phoneticPr fontId="1" type="noConversion"/>
  </si>
  <si>
    <t>LG [012-2628-2848]</t>
    <phoneticPr fontId="1" type="noConversion"/>
  </si>
  <si>
    <t>LG [012-2629-6047]</t>
    <phoneticPr fontId="1" type="noConversion"/>
  </si>
  <si>
    <t>우성기전</t>
    <phoneticPr fontId="1" type="noConversion"/>
  </si>
  <si>
    <t>CNR_L500W</t>
  </si>
  <si>
    <t>CNR_L500W</t>
    <phoneticPr fontId="1" type="noConversion"/>
  </si>
  <si>
    <t>세금계산서내용</t>
    <phoneticPr fontId="1" type="noConversion"/>
  </si>
  <si>
    <t>20250102410000616vvptc79</t>
    <phoneticPr fontId="1" type="noConversion"/>
  </si>
  <si>
    <t>20250725410000616wuiivu3</t>
    <phoneticPr fontId="1" type="noConversion"/>
  </si>
  <si>
    <t xml:space="preserve">모니터링 디바이스 </t>
    <phoneticPr fontId="1" type="noConversion"/>
  </si>
  <si>
    <r>
      <t>체크플러스 서비스이용료 (</t>
    </r>
    <r>
      <rPr>
        <sz val="11"/>
        <color rgb="FFFF0000"/>
        <rFont val="맑은 고딕"/>
        <family val="3"/>
        <charset val="129"/>
        <scheme val="minor"/>
      </rPr>
      <t>4대/12개월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</si>
  <si>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20241110410000080mt039i9</t>
  </si>
  <si>
    <r>
      <t>체크플러스 서비스임대료 (</t>
    </r>
    <r>
      <rPr>
        <sz val="11"/>
        <color rgb="FFFF0000"/>
        <rFont val="맑은 고딕"/>
        <family val="3"/>
        <charset val="129"/>
        <scheme val="minor"/>
      </rPr>
      <t>1대/36개월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</si>
  <si>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2024-06-31</t>
    <phoneticPr fontId="1" type="noConversion"/>
  </si>
  <si>
    <t>모니터링 MIG 디바이스 1대</t>
    <phoneticPr fontId="1" type="noConversion"/>
  </si>
  <si>
    <t>20230629410000614571g748</t>
  </si>
  <si>
    <t>지오테크</t>
    <phoneticPr fontId="1" type="noConversion"/>
  </si>
  <si>
    <t>0535666988</t>
  </si>
  <si>
    <t>88STEEL</t>
  </si>
  <si>
    <t>애니시스템</t>
    <phoneticPr fontId="1" type="noConversion"/>
  </si>
  <si>
    <t>ADMIN</t>
    <phoneticPr fontId="1" type="noConversion"/>
  </si>
  <si>
    <t>CheckAdminPwd2021</t>
  </si>
  <si>
    <t>HDSTEEL</t>
    <phoneticPr fontId="1" type="noConversion"/>
  </si>
  <si>
    <t>HDTS</t>
    <phoneticPr fontId="1" type="noConversion"/>
  </si>
  <si>
    <t>1788101086</t>
  </si>
  <si>
    <t>KDN</t>
  </si>
  <si>
    <t>KDN</t>
    <phoneticPr fontId="1" type="noConversion"/>
  </si>
  <si>
    <t>03180605952</t>
  </si>
  <si>
    <t>1208752157</t>
  </si>
  <si>
    <t>엘에스메탈</t>
    <phoneticPr fontId="1" type="noConversion"/>
  </si>
  <si>
    <t>LSMETAL</t>
    <phoneticPr fontId="1" type="noConversion"/>
  </si>
  <si>
    <t>SBM</t>
    <phoneticPr fontId="1" type="noConversion"/>
  </si>
  <si>
    <t>0314988663</t>
  </si>
  <si>
    <t>0313653595</t>
  </si>
  <si>
    <t>SBTECH</t>
    <phoneticPr fontId="1" type="noConversion"/>
  </si>
  <si>
    <t>03180423070</t>
  </si>
  <si>
    <t>comwins</t>
    <phoneticPr fontId="1" type="noConversion"/>
  </si>
  <si>
    <t>hdelec</t>
    <phoneticPr fontId="1" type="noConversion"/>
  </si>
  <si>
    <t>11111111</t>
  </si>
  <si>
    <t>hdelec-0</t>
    <phoneticPr fontId="1" type="noConversion"/>
  </si>
  <si>
    <t>22222222</t>
  </si>
  <si>
    <t>hdelec-1</t>
    <phoneticPr fontId="1" type="noConversion"/>
  </si>
  <si>
    <t>이전통합ID</t>
    <phoneticPr fontId="1" type="noConversion"/>
  </si>
  <si>
    <t>사내제관공장</t>
    <phoneticPr fontId="1" type="noConversion"/>
  </si>
  <si>
    <t>사외협력업체</t>
    <phoneticPr fontId="1" type="noConversion"/>
  </si>
  <si>
    <t>가입만기일</t>
    <phoneticPr fontId="1" type="noConversion"/>
  </si>
  <si>
    <t>2년약정</t>
    <phoneticPr fontId="1" type="noConversion"/>
  </si>
  <si>
    <t>로봇 모니터링 장비</t>
    <phoneticPr fontId="1" type="noConversion"/>
  </si>
  <si>
    <t>QR 리더기</t>
    <phoneticPr fontId="1" type="noConversion"/>
  </si>
  <si>
    <t>임대형장비(3년주기)</t>
    <phoneticPr fontId="1" type="noConversion"/>
  </si>
  <si>
    <t>로봇 펄스미그모니터링 장비</t>
    <phoneticPr fontId="1" type="noConversion"/>
  </si>
  <si>
    <t>지오테크에서 회수</t>
    <phoneticPr fontId="1" type="noConversion"/>
  </si>
  <si>
    <t>COM-MIG-001</t>
    <phoneticPr fontId="1" type="noConversion"/>
  </si>
  <si>
    <t>600A 홀센서</t>
    <phoneticPr fontId="1" type="noConversion"/>
  </si>
  <si>
    <t>SRR60 (Oribi)</t>
    <phoneticPr fontId="1" type="noConversion"/>
  </si>
  <si>
    <t>SRS60 (Oribi)</t>
    <phoneticPr fontId="1" type="noConversion"/>
  </si>
  <si>
    <t>Serial No.</t>
    <phoneticPr fontId="1" type="noConversion"/>
  </si>
  <si>
    <t>MAC Add</t>
    <phoneticPr fontId="1" type="noConversion"/>
  </si>
  <si>
    <t>58269B5V02F6A</t>
  </si>
  <si>
    <t>BCA5119C86FC</t>
  </si>
  <si>
    <t>5BH3875L00027</t>
  </si>
  <si>
    <t>78D294A7EF61</t>
  </si>
  <si>
    <t>58369B5K03125</t>
  </si>
  <si>
    <t>BCA5119D0A73</t>
  </si>
  <si>
    <t>58269B5903125</t>
  </si>
  <si>
    <t>BCA5119C7DD8</t>
  </si>
  <si>
    <t>58369B5602F6A</t>
  </si>
  <si>
    <t>BCA5119D0F91</t>
  </si>
  <si>
    <t>58269B5003003</t>
  </si>
  <si>
    <t>BCA5119C82C2</t>
  </si>
  <si>
    <t>디엠테크컨설팅</t>
    <phoneticPr fontId="1" type="noConversion"/>
  </si>
  <si>
    <t>유운병</t>
    <phoneticPr fontId="1" type="noConversion"/>
  </si>
  <si>
    <t>한원규</t>
    <phoneticPr fontId="1" type="noConversion"/>
  </si>
  <si>
    <t>기계팀</t>
    <phoneticPr fontId="1" type="noConversion"/>
  </si>
  <si>
    <t>계장</t>
    <phoneticPr fontId="1" type="noConversion"/>
  </si>
  <si>
    <t>010-9011-5397</t>
    <phoneticPr fontId="1" type="noConversion"/>
  </si>
  <si>
    <t>hanwonkyu@hyundai-steel.com</t>
    <phoneticPr fontId="1" type="noConversion"/>
  </si>
  <si>
    <t>121-81-10385</t>
    <phoneticPr fontId="1" type="noConversion"/>
  </si>
  <si>
    <t>R8000</t>
    <phoneticPr fontId="1" type="noConversion"/>
  </si>
  <si>
    <t>설치업체</t>
    <phoneticPr fontId="1" type="noConversion"/>
  </si>
  <si>
    <t>장영택</t>
    <phoneticPr fontId="1" type="noConversion"/>
  </si>
  <si>
    <t>010-3509-8623</t>
    <phoneticPr fontId="1" type="noConversion"/>
  </si>
  <si>
    <t>i88kangjae@nate.com</t>
    <phoneticPr fontId="1" type="noConversion"/>
  </si>
  <si>
    <t>메모(판매처)</t>
    <phoneticPr fontId="1" type="noConversion"/>
  </si>
  <si>
    <t>Paragon 600T</t>
    <phoneticPr fontId="1" type="noConversion"/>
  </si>
  <si>
    <t>SAW</t>
    <phoneticPr fontId="1" type="noConversion"/>
  </si>
  <si>
    <t>WS-Monitor(커스텀2)</t>
    <phoneticPr fontId="1" type="noConversion"/>
  </si>
  <si>
    <t>6228105973</t>
    <phoneticPr fontId="1" type="noConversion"/>
  </si>
  <si>
    <t>hungil</t>
    <phoneticPr fontId="1" type="noConversion"/>
  </si>
  <si>
    <t>KDN-TIG-01 ~ 03</t>
    <phoneticPr fontId="1" type="noConversion"/>
  </si>
  <si>
    <t>88-CO2-01 ~ 04</t>
    <phoneticPr fontId="1" type="noConversion"/>
  </si>
  <si>
    <t>SBTE-TIG-01 ~ 05</t>
    <phoneticPr fontId="1" type="noConversion"/>
  </si>
  <si>
    <t>SBM-TIG-01 ~ 08</t>
    <phoneticPr fontId="1" type="noConversion"/>
  </si>
  <si>
    <t>COM-MIG-001 ~ 003</t>
    <phoneticPr fontId="1" type="noConversion"/>
  </si>
  <si>
    <t>HIL-CO2-001 ~ 003</t>
    <phoneticPr fontId="1" type="noConversion"/>
  </si>
  <si>
    <t>HIL-TIG-001 ~ 003</t>
    <phoneticPr fontId="1" type="noConversion"/>
  </si>
  <si>
    <t>HDIS-MIG-01</t>
    <phoneticPr fontId="1" type="noConversion"/>
  </si>
  <si>
    <t>LS-SAW-001 ~ 3</t>
    <phoneticPr fontId="1" type="noConversion"/>
  </si>
  <si>
    <t>HDEL-CO2-001 ~ 3</t>
    <phoneticPr fontId="1" type="noConversion"/>
  </si>
  <si>
    <t>HDEL-CO21-001 ~ 6 , HDEL-CO2-004</t>
    <phoneticPr fontId="1" type="noConversion"/>
  </si>
  <si>
    <t>인천광역시 동구 중봉대로 63(송현동)</t>
  </si>
  <si>
    <r>
      <t>판매단가</t>
    </r>
    <r>
      <rPr>
        <b/>
        <sz val="11"/>
        <color theme="0"/>
        <rFont val="맑은 고딕"/>
        <family val="2"/>
        <charset val="129"/>
      </rPr>
      <t>(HW)</t>
    </r>
    <phoneticPr fontId="1" type="noConversion"/>
  </si>
  <si>
    <r>
      <t>판매금액</t>
    </r>
    <r>
      <rPr>
        <b/>
        <sz val="11"/>
        <color theme="0"/>
        <rFont val="맑은 고딕"/>
        <family val="2"/>
        <charset val="129"/>
      </rPr>
      <t>(HW)</t>
    </r>
    <phoneticPr fontId="1" type="noConversion"/>
  </si>
  <si>
    <t>경상북도 경산시 진량읍 금박로 608-14</t>
  </si>
  <si>
    <t>거래처명</t>
    <phoneticPr fontId="1" type="noConversion"/>
  </si>
  <si>
    <t>설치장소
(판매처정보-설치업체기준)</t>
    <phoneticPr fontId="1" type="noConversion"/>
  </si>
  <si>
    <t>PRO_2022-001</t>
  </si>
  <si>
    <t>PRO_2022-001</t>
    <phoneticPr fontId="1" type="noConversion"/>
  </si>
  <si>
    <t>PRO_2022-002</t>
  </si>
  <si>
    <t>PRO_2022-002</t>
    <phoneticPr fontId="1" type="noConversion"/>
  </si>
  <si>
    <t>20220831-41000016-16125055</t>
    <phoneticPr fontId="1" type="noConversion"/>
  </si>
  <si>
    <t>계산서승인번호</t>
    <phoneticPr fontId="1" type="noConversion"/>
  </si>
  <si>
    <t>TAX_00001</t>
    <phoneticPr fontId="1" type="noConversion"/>
  </si>
  <si>
    <t>PRO_2022-003</t>
  </si>
  <si>
    <t>PRO_2022-003</t>
    <phoneticPr fontId="1" type="noConversion"/>
  </si>
  <si>
    <t>PRO_2023-001</t>
  </si>
  <si>
    <t>PRO_2023-002</t>
  </si>
  <si>
    <t>PRO_2023-003</t>
  </si>
  <si>
    <t>PRO_2024-001</t>
  </si>
  <si>
    <t>PRO_2024-002</t>
  </si>
  <si>
    <t>PRO_2025-001</t>
  </si>
  <si>
    <t>PRO_2025-002</t>
  </si>
  <si>
    <t>프로젝트고유번호</t>
    <phoneticPr fontId="1" type="noConversion"/>
  </si>
  <si>
    <t>프로젝트 고유번호</t>
    <phoneticPr fontId="1" type="noConversion"/>
  </si>
  <si>
    <t>PRO_2023-001</t>
    <phoneticPr fontId="1" type="noConversion"/>
  </si>
  <si>
    <t>PRO_2023-002</t>
    <phoneticPr fontId="1" type="noConversion"/>
  </si>
  <si>
    <t>PRO_2023-003</t>
    <phoneticPr fontId="1" type="noConversion"/>
  </si>
  <si>
    <t>PRO_2024-001</t>
    <phoneticPr fontId="1" type="noConversion"/>
  </si>
  <si>
    <t>PRO_2024-002</t>
    <phoneticPr fontId="1" type="noConversion"/>
  </si>
  <si>
    <t>PRO_2025-001</t>
    <phoneticPr fontId="1" type="noConversion"/>
  </si>
  <si>
    <t>PRO_2025-002</t>
    <phoneticPr fontId="1" type="noConversion"/>
  </si>
  <si>
    <t>ACT_00001</t>
  </si>
  <si>
    <t>ACT_00001</t>
    <phoneticPr fontId="1" type="noConversion"/>
  </si>
  <si>
    <t>CUS_00001</t>
    <phoneticPr fontId="1" type="noConversion"/>
  </si>
  <si>
    <t>CUS_00003</t>
  </si>
  <si>
    <t>CUS_00004</t>
  </si>
  <si>
    <t>CUS_00005</t>
  </si>
  <si>
    <t>CUS_00006</t>
  </si>
  <si>
    <t>CUS_00007</t>
  </si>
  <si>
    <t>CUS_00008</t>
  </si>
  <si>
    <t>CUS_00009</t>
  </si>
  <si>
    <t>CUS_00010</t>
  </si>
  <si>
    <t>CUS_00011</t>
  </si>
  <si>
    <t>CUS_00012</t>
  </si>
  <si>
    <t>DEV_00001</t>
    <phoneticPr fontId="1" type="noConversion"/>
  </si>
  <si>
    <t>DEV_00002</t>
  </si>
  <si>
    <t>DEV_00003</t>
  </si>
  <si>
    <t>DEV_00004</t>
  </si>
  <si>
    <t>DEV_00005</t>
  </si>
  <si>
    <t>DEV_00006</t>
  </si>
  <si>
    <t>DEV_00007</t>
  </si>
  <si>
    <t>DEV_00008</t>
  </si>
  <si>
    <t>DEV_00009</t>
  </si>
  <si>
    <t>DEV_00010</t>
  </si>
  <si>
    <t>DEV_00011</t>
  </si>
  <si>
    <t>DEV_00012</t>
  </si>
  <si>
    <t>DEV_00013</t>
  </si>
  <si>
    <t>DEV_00014</t>
  </si>
  <si>
    <t>DEV_00015</t>
  </si>
  <si>
    <t>DEV_00016</t>
  </si>
  <si>
    <t>DEV_00017</t>
  </si>
  <si>
    <t>DEV_00018</t>
  </si>
  <si>
    <t>DEV_00019</t>
  </si>
  <si>
    <t>DEV_00020</t>
  </si>
  <si>
    <t>DEV_00021</t>
  </si>
  <si>
    <t>DEV_00022</t>
  </si>
  <si>
    <t>DEV_00023</t>
  </si>
  <si>
    <t>DEV_00024</t>
  </si>
  <si>
    <t>DEV_00025</t>
  </si>
  <si>
    <t>DEV_00026</t>
  </si>
  <si>
    <t>DEV_00027</t>
  </si>
  <si>
    <t>DEV_00028</t>
  </si>
  <si>
    <t>DEV_00029</t>
  </si>
  <si>
    <t>DEV_00030</t>
  </si>
  <si>
    <t>DEV_00031</t>
  </si>
  <si>
    <t>DEV_00032</t>
  </si>
  <si>
    <t>DEV_00033</t>
  </si>
  <si>
    <t>DEV_00034</t>
  </si>
  <si>
    <t>DEV_00035</t>
  </si>
  <si>
    <t>DEV_00036</t>
  </si>
  <si>
    <t>DEV_00037</t>
  </si>
  <si>
    <t>DEV_00038</t>
  </si>
  <si>
    <t>DEV_00039</t>
  </si>
  <si>
    <t>DEV_00040</t>
  </si>
  <si>
    <t>DEV_00041</t>
  </si>
  <si>
    <t>DEV_00042</t>
  </si>
  <si>
    <t>DEV_00043</t>
  </si>
  <si>
    <t>DEV_00044</t>
  </si>
  <si>
    <t>거래처고유번호
(CUS_*****)</t>
    <phoneticPr fontId="1" type="noConversion"/>
  </si>
  <si>
    <t>제품고유번호
(DEV_*****)</t>
    <phoneticPr fontId="1" type="noConversion"/>
  </si>
  <si>
    <t>공유기 고유번호
(APW_*****)</t>
    <phoneticPr fontId="1" type="noConversion"/>
  </si>
  <si>
    <t>APW_00001</t>
    <phoneticPr fontId="1" type="noConversion"/>
  </si>
  <si>
    <t>APW_00002</t>
  </si>
  <si>
    <t>APW_00003</t>
  </si>
  <si>
    <t>APW_00004</t>
  </si>
  <si>
    <t>APW_00005</t>
  </si>
  <si>
    <t>APW_00006</t>
  </si>
  <si>
    <t>APW_00007</t>
  </si>
  <si>
    <t>APW_00008</t>
  </si>
  <si>
    <t>APW_00009</t>
  </si>
  <si>
    <t>APW_00010</t>
  </si>
  <si>
    <t>APW_00011</t>
  </si>
  <si>
    <t>APW_00012</t>
  </si>
  <si>
    <t>APW_00013</t>
  </si>
  <si>
    <t>APW_00014</t>
  </si>
  <si>
    <t>APW_00015</t>
  </si>
  <si>
    <t>APW_00016</t>
  </si>
  <si>
    <t>LTE_00001</t>
    <phoneticPr fontId="1" type="noConversion"/>
  </si>
  <si>
    <t>LTE_00002</t>
  </si>
  <si>
    <t>LTE_00003</t>
  </si>
  <si>
    <t>LTE_00004</t>
  </si>
  <si>
    <t>LTE_00005</t>
  </si>
  <si>
    <t>LTE_00006</t>
  </si>
  <si>
    <t>LTE_00007</t>
  </si>
  <si>
    <t>LTE_00008</t>
  </si>
  <si>
    <t>LTE_00009</t>
  </si>
  <si>
    <t>라우터고유번호
(LTE_*****)</t>
    <phoneticPr fontId="1" type="noConversion"/>
  </si>
  <si>
    <t>CUS_00002</t>
    <phoneticPr fontId="1" type="noConversion"/>
  </si>
  <si>
    <t>CUS_00013</t>
  </si>
  <si>
    <t>126-81-19547</t>
    <phoneticPr fontId="1" type="noConversion"/>
  </si>
  <si>
    <t>경기도 광주시 도척면 도척윗로 542</t>
    <phoneticPr fontId="1" type="noConversion"/>
  </si>
  <si>
    <t>남동수</t>
    <phoneticPr fontId="1" type="noConversion"/>
  </si>
  <si>
    <t>010-9188-1435</t>
    <phoneticPr fontId="1" type="noConversion"/>
  </si>
  <si>
    <t>woosung@wsweld.co.kr</t>
    <phoneticPr fontId="1" type="noConversion"/>
  </si>
  <si>
    <t>본사</t>
    <phoneticPr fontId="1" type="noConversion"/>
  </si>
  <si>
    <t>거래  /  프로젝트정보</t>
    <phoneticPr fontId="1" type="noConversion"/>
  </si>
  <si>
    <t>PRO_00001</t>
    <phoneticPr fontId="1" type="noConversion"/>
  </si>
  <si>
    <t>PRO_00002</t>
  </si>
  <si>
    <t>PRO_00003</t>
  </si>
  <si>
    <t>PRO_00004</t>
  </si>
  <si>
    <t>PRO_00005</t>
  </si>
  <si>
    <t>PRO_00006</t>
  </si>
  <si>
    <t>PRO_00007</t>
  </si>
  <si>
    <t>PRO_00008</t>
  </si>
  <si>
    <t>PRO_00009</t>
  </si>
  <si>
    <t>PRO_00010</t>
  </si>
  <si>
    <t>PRO_00011</t>
  </si>
  <si>
    <t>PRO_00012</t>
  </si>
  <si>
    <t>PRO_00013</t>
  </si>
  <si>
    <t>PRO_00014</t>
  </si>
  <si>
    <t>프로젝트네임</t>
    <phoneticPr fontId="1" type="noConversion"/>
  </si>
  <si>
    <t>메뉴항목</t>
    <phoneticPr fontId="1" type="noConversion"/>
  </si>
  <si>
    <t>MIG</t>
    <phoneticPr fontId="1" type="noConversion"/>
  </si>
  <si>
    <t>PLASMA</t>
    <phoneticPr fontId="1" type="noConversion"/>
  </si>
  <si>
    <t>ARC</t>
    <phoneticPr fontId="1" type="noConversion"/>
  </si>
  <si>
    <t>WS-Monitor(기초)</t>
    <phoneticPr fontId="1" type="noConversion"/>
  </si>
  <si>
    <t>WS-Monitor(일반)</t>
    <phoneticPr fontId="1" type="noConversion"/>
  </si>
  <si>
    <t>WS-Monitor(커스텀1)</t>
    <phoneticPr fontId="1" type="noConversion"/>
  </si>
  <si>
    <t>WS-Control</t>
    <phoneticPr fontId="1" type="noConversion"/>
  </si>
  <si>
    <t>전압검출클램프</t>
    <phoneticPr fontId="1" type="noConversion"/>
  </si>
  <si>
    <t>전류홀센서(600A)</t>
    <phoneticPr fontId="1" type="noConversion"/>
  </si>
  <si>
    <t>전류홀센서(1000A)</t>
    <phoneticPr fontId="1" type="noConversion"/>
  </si>
  <si>
    <t>전류홀센서(1500A)</t>
    <phoneticPr fontId="1" type="noConversion"/>
  </si>
  <si>
    <t>TIG 연결박스</t>
    <phoneticPr fontId="1" type="noConversion"/>
  </si>
  <si>
    <t>입력선 (1M)</t>
    <phoneticPr fontId="1" type="noConversion"/>
  </si>
  <si>
    <t>입력선 (1.5M)</t>
    <phoneticPr fontId="1" type="noConversion"/>
  </si>
  <si>
    <t>커스터마이징 사양</t>
    <phoneticPr fontId="1" type="noConversion"/>
  </si>
  <si>
    <t>COM-MIG-002</t>
    <phoneticPr fontId="1" type="noConversion"/>
  </si>
  <si>
    <t>COM-MIG-003</t>
    <phoneticPr fontId="1" type="noConversion"/>
  </si>
  <si>
    <t>온도센서</t>
    <phoneticPr fontId="1" type="noConversion"/>
  </si>
  <si>
    <t>ACT_00002</t>
  </si>
  <si>
    <t>ACT_00003</t>
  </si>
  <si>
    <t>ACT_00004</t>
  </si>
  <si>
    <t>ACT_00005</t>
  </si>
  <si>
    <t>ACT_00006</t>
  </si>
  <si>
    <t>ACT_00007</t>
  </si>
  <si>
    <t>ACT_00008</t>
  </si>
  <si>
    <t>ACT_00009</t>
  </si>
  <si>
    <t>ACT_00010</t>
  </si>
  <si>
    <t>ACT_00011</t>
  </si>
  <si>
    <t>ACT_00012</t>
  </si>
  <si>
    <t>ACT_00013</t>
  </si>
  <si>
    <t>ACT_00014</t>
  </si>
  <si>
    <t>PRO_00015</t>
  </si>
  <si>
    <t>PRO_2000-001</t>
  </si>
  <si>
    <t>PRO_2000-001</t>
    <phoneticPr fontId="1" type="noConversion"/>
  </si>
  <si>
    <t>담당자이름
(판매업체 담당자)</t>
    <phoneticPr fontId="1" type="noConversion"/>
  </si>
  <si>
    <t>CPS_00000</t>
    <phoneticPr fontId="1" type="noConversion"/>
  </si>
  <si>
    <t>CPS_00001</t>
  </si>
  <si>
    <t>CPS_00002</t>
  </si>
  <si>
    <t>CPS_00003</t>
  </si>
  <si>
    <t>CPS_00004</t>
  </si>
  <si>
    <t>CPS_00005</t>
  </si>
  <si>
    <t>CPS_00006</t>
  </si>
  <si>
    <t>CPS_00007</t>
  </si>
  <si>
    <t>CPS_00008</t>
  </si>
  <si>
    <t>CPS_00009</t>
  </si>
  <si>
    <t>CPS_00010</t>
  </si>
  <si>
    <t>CPS_00011</t>
  </si>
  <si>
    <t>CPS_00012</t>
  </si>
  <si>
    <t>하드웨어사양</t>
    <phoneticPr fontId="1" type="noConversion"/>
  </si>
  <si>
    <t>소프트웨어 사양</t>
    <phoneticPr fontId="1" type="noConversion"/>
  </si>
  <si>
    <t>사용개월(SW)</t>
    <phoneticPr fontId="1" type="noConversion"/>
  </si>
  <si>
    <t>사용금액(SW)</t>
    <phoneticPr fontId="1" type="noConversion"/>
  </si>
  <si>
    <t>사용종료(SW)</t>
    <phoneticPr fontId="1" type="noConversion"/>
  </si>
  <si>
    <t>☑</t>
    <phoneticPr fontId="1" type="noConversion"/>
  </si>
  <si>
    <t>☐</t>
    <phoneticPr fontId="1" type="noConversion"/>
  </si>
  <si>
    <t>2022-11-31</t>
    <phoneticPr fontId="1" type="noConversion"/>
  </si>
  <si>
    <t>납품일[HW설치완료일]</t>
    <phoneticPr fontId="1" type="noConversion"/>
  </si>
  <si>
    <t>사용종료일[SW종료일]</t>
    <phoneticPr fontId="1" type="noConversion"/>
  </si>
  <si>
    <t>SW구독료</t>
    <phoneticPr fontId="1" type="noConversion"/>
  </si>
  <si>
    <t>설치업체
(거래처항목에서 연결)</t>
    <phoneticPr fontId="1" type="noConversion"/>
  </si>
  <si>
    <t>차기 계산서발행
최근 알람일</t>
    <phoneticPr fontId="1" type="noConversion"/>
  </si>
  <si>
    <t>차기 계산서발행
최근알람일</t>
    <phoneticPr fontId="1" type="noConversion"/>
  </si>
  <si>
    <t>HW납품(일회성)</t>
    <phoneticPr fontId="1" type="noConversion"/>
  </si>
  <si>
    <t>TAX_00002</t>
  </si>
  <si>
    <t>TAX_00003</t>
  </si>
  <si>
    <t>TAX_00004</t>
  </si>
  <si>
    <t>TAX_00005</t>
  </si>
  <si>
    <t>TAX_00006</t>
  </si>
  <si>
    <t>TAX_00007</t>
  </si>
  <si>
    <t>TAX_00008</t>
  </si>
  <si>
    <t>TAX_00009</t>
  </si>
  <si>
    <t>TAX_00010</t>
  </si>
  <si>
    <t>TAX_00011</t>
  </si>
  <si>
    <t>TAX_00012</t>
  </si>
  <si>
    <t>TAX_00013</t>
  </si>
  <si>
    <t>TAX_00014</t>
  </si>
  <si>
    <t>TAX_00015</t>
  </si>
  <si>
    <t>TAX_00016</t>
  </si>
  <si>
    <t>TAX_00017</t>
  </si>
  <si>
    <t>TAX_00018</t>
  </si>
  <si>
    <t>TAX_00019</t>
  </si>
  <si>
    <t>TAX_00020</t>
  </si>
  <si>
    <t>TAX_00021</t>
  </si>
  <si>
    <t>TAX_00022</t>
  </si>
  <si>
    <t>TAX_00023</t>
  </si>
  <si>
    <t>TAX_00024</t>
  </si>
  <si>
    <t>TAX_00025</t>
  </si>
  <si>
    <t>TAX_00026</t>
  </si>
  <si>
    <t>TAX_00027</t>
  </si>
  <si>
    <t>TAX_00028</t>
  </si>
  <si>
    <t>TAX_00029</t>
  </si>
  <si>
    <t>TAX_00030</t>
  </si>
  <si>
    <t>TAX_00031</t>
  </si>
  <si>
    <t>TAX_00032</t>
  </si>
  <si>
    <t>TAX_00033</t>
  </si>
  <si>
    <t>TAX_00034</t>
  </si>
  <si>
    <t>ACT_00015</t>
  </si>
  <si>
    <t>LTE</t>
    <phoneticPr fontId="1" type="noConversion"/>
  </si>
  <si>
    <t>LG [012-2211-9908]</t>
    <phoneticPr fontId="1" type="noConversion"/>
  </si>
  <si>
    <t>ACT_00016</t>
  </si>
  <si>
    <t>TAX_00035</t>
  </si>
  <si>
    <t>LG [012-2029-7509]</t>
  </si>
  <si>
    <t>LG [012-2241-6980,9375,7011,6911]</t>
    <phoneticPr fontId="1" type="noConversion"/>
  </si>
  <si>
    <t>ACT_00017</t>
  </si>
  <si>
    <t>ACT_00018</t>
  </si>
  <si>
    <t>TAX_00036</t>
  </si>
  <si>
    <r>
      <t>LTE 사용료 (</t>
    </r>
    <r>
      <rPr>
        <sz val="11"/>
        <color rgb="FFFF0000"/>
        <rFont val="맑은 고딕"/>
        <family val="3"/>
        <charset val="129"/>
        <scheme val="minor"/>
      </rPr>
      <t>1대/36개월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</si>
  <si>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ACT_00012</t>
    <phoneticPr fontId="1" type="noConversion"/>
  </si>
  <si>
    <t>ACT_00011</t>
    <phoneticPr fontId="1" type="noConversion"/>
  </si>
  <si>
    <t>디바이스 임대료 (1대/36개월)</t>
    <phoneticPr fontId="1" type="noConversion"/>
  </si>
  <si>
    <r>
      <t>LTE 사용료 (</t>
    </r>
    <r>
      <rPr>
        <sz val="11"/>
        <color rgb="FFFF0000"/>
        <rFont val="맑은 고딕"/>
        <family val="3"/>
        <charset val="129"/>
        <scheme val="minor"/>
      </rPr>
      <t>4대/12개월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</si>
  <si>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모니터링 디바이스(CO2) [WS-Monitor(C)] 7대 외</t>
    <phoneticPr fontId="1" type="noConversion"/>
  </si>
  <si>
    <t>LTE구독료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</si>
</sst>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HY견고딕"/>
      <family val="1"/>
      <charset val="129"/>
    </font>
    <font>
      <b/>
      <sz val="11"/>
      <color theme="0"/>
      <name val="나눔스퀘어라운드OTF Bold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7"/>
      <color rgb="FF000000"/>
      <name val="Arial"/>
      <family val="2"/>
    </font>
    <font>
      <sz val="12"/>
      <color rgb="FF333333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Arial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2"/>
      <color rgb="FF000000"/>
      <name val="맑은 고딕"/>
      <family val="3"/>
      <charset val="129"/>
      <scheme val="major"/>
    </font>
    <font>
      <b/>
      <sz val="11"/>
      <color theme="0"/>
      <name val="맑은 고딕"/>
      <family val="2"/>
      <charset val="129"/>
    </font>
    <font>
      <sz val="11"/>
      <color theme="0"/>
      <name val="나눔스퀘어라운드OTF Bold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color rgb="FF000000"/>
      <name val="Malgun Gothic"/>
      <family val="3"/>
      <charset val="129"/>
    </font>
    <font>
      <sz val="16"/>
      <color theme="1"/>
      <name val="Segoe UI Symbol"/>
      <family val="2"/>
    </font>
    <font>
      <sz val="18"/>
      <color theme="1"/>
      <name val="Segoe UI Symbo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1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76" fontId="0" fillId="0" borderId="0" xfId="0" applyNumberFormat="1"/>
    <xf numFmtId="176" fontId="6" fillId="2" borderId="11" xfId="0" applyNumberFormat="1" applyFont="1" applyFill="1" applyBorder="1" applyAlignment="1">
      <alignment horizontal="center" vertical="center"/>
    </xf>
    <xf numFmtId="176" fontId="0" fillId="0" borderId="8" xfId="0" applyNumberFormat="1" applyBorder="1"/>
    <xf numFmtId="176" fontId="0" fillId="0" borderId="2" xfId="0" applyNumberFormat="1" applyBorder="1"/>
    <xf numFmtId="176" fontId="0" fillId="0" borderId="5" xfId="0" applyNumberFormat="1" applyBorder="1"/>
    <xf numFmtId="0" fontId="0" fillId="0" borderId="0" xfId="0" applyAlignment="1">
      <alignment shrinkToFit="1"/>
    </xf>
    <xf numFmtId="0" fontId="6" fillId="2" borderId="11" xfId="0" applyFont="1" applyFill="1" applyBorder="1" applyAlignment="1">
      <alignment horizontal="center" vertical="center" shrinkToFit="1"/>
    </xf>
    <xf numFmtId="0" fontId="0" fillId="0" borderId="8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5" xfId="0" applyBorder="1" applyAlignment="1">
      <alignment shrinkToFit="1"/>
    </xf>
    <xf numFmtId="14" fontId="0" fillId="0" borderId="9" xfId="0" applyNumberFormat="1" applyBorder="1"/>
    <xf numFmtId="14" fontId="0" fillId="0" borderId="3" xfId="0" applyNumberFormat="1" applyBorder="1"/>
    <xf numFmtId="0" fontId="8" fillId="0" borderId="0" xfId="0" applyFont="1"/>
    <xf numFmtId="0" fontId="9" fillId="0" borderId="16" xfId="0" applyFont="1" applyBorder="1" applyAlignment="1">
      <alignment shrinkToFit="1"/>
    </xf>
    <xf numFmtId="0" fontId="0" fillId="0" borderId="2" xfId="0" quotePrefix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8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0" fillId="0" borderId="0" xfId="0" applyAlignment="1">
      <alignment horizontal="center" shrinkToFit="1"/>
    </xf>
    <xf numFmtId="14" fontId="0" fillId="0" borderId="8" xfId="0" applyNumberFormat="1" applyBorder="1" applyAlignment="1">
      <alignment horizontal="center" shrinkToFit="1"/>
    </xf>
    <xf numFmtId="14" fontId="0" fillId="0" borderId="2" xfId="0" applyNumberFormat="1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6" fillId="2" borderId="11" xfId="0" applyNumberFormat="1" applyFont="1" applyFill="1" applyBorder="1" applyAlignment="1">
      <alignment horizontal="center" vertical="center"/>
    </xf>
    <xf numFmtId="41" fontId="6" fillId="2" borderId="11" xfId="1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19" fillId="0" borderId="2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0" xfId="0" applyFont="1" applyAlignment="1">
      <alignment shrinkToFit="1"/>
    </xf>
    <xf numFmtId="0" fontId="20" fillId="0" borderId="16" xfId="0" applyFont="1" applyBorder="1" applyAlignment="1">
      <alignment shrinkToFit="1"/>
    </xf>
    <xf numFmtId="0" fontId="20" fillId="0" borderId="2" xfId="0" applyFont="1" applyBorder="1" applyAlignment="1">
      <alignment shrinkToFi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1" fillId="0" borderId="8" xfId="2" applyBorder="1" applyAlignment="1">
      <alignment horizontal="left" vertical="center"/>
    </xf>
    <xf numFmtId="0" fontId="11" fillId="0" borderId="2" xfId="2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0" fillId="0" borderId="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14" fontId="0" fillId="0" borderId="18" xfId="0" quotePrefix="1" applyNumberFormat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8" xfId="0" quotePrefix="1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8" xfId="0" applyBorder="1" applyAlignment="1">
      <alignment horizontal="centerContinuous" vertical="center"/>
    </xf>
    <xf numFmtId="41" fontId="0" fillId="0" borderId="28" xfId="1" applyFont="1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41" fontId="2" fillId="0" borderId="28" xfId="1" applyFont="1" applyBorder="1" applyAlignment="1">
      <alignment horizontal="centerContinuous" vertical="center"/>
    </xf>
    <xf numFmtId="0" fontId="2" fillId="0" borderId="27" xfId="0" applyFont="1" applyBorder="1" applyAlignment="1">
      <alignment horizontal="centerContinuous" vertical="center"/>
    </xf>
    <xf numFmtId="0" fontId="0" fillId="9" borderId="2" xfId="0" applyFill="1" applyBorder="1" applyAlignment="1">
      <alignment horizontal="center" vertical="center"/>
    </xf>
    <xf numFmtId="41" fontId="0" fillId="9" borderId="2" xfId="1" applyFont="1" applyFill="1" applyBorder="1" applyAlignment="1">
      <alignment horizontal="center" vertical="center"/>
    </xf>
    <xf numFmtId="41" fontId="0" fillId="9" borderId="8" xfId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41" fontId="0" fillId="9" borderId="5" xfId="1" applyFont="1" applyFill="1" applyBorder="1" applyAlignment="1">
      <alignment horizontal="center" vertical="center"/>
    </xf>
    <xf numFmtId="41" fontId="0" fillId="0" borderId="27" xfId="1" applyFont="1" applyBorder="1" applyAlignment="1">
      <alignment horizontal="centerContinuous" vertical="center"/>
    </xf>
    <xf numFmtId="41" fontId="0" fillId="0" borderId="29" xfId="1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41" fontId="6" fillId="10" borderId="11" xfId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shrinkToFit="1"/>
    </xf>
    <xf numFmtId="0" fontId="6" fillId="5" borderId="11" xfId="0" applyFont="1" applyFill="1" applyBorder="1" applyAlignment="1">
      <alignment horizontal="center" vertical="center" shrinkToFit="1"/>
    </xf>
    <xf numFmtId="0" fontId="6" fillId="8" borderId="11" xfId="0" applyFon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176" fontId="6" fillId="5" borderId="11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0" xfId="0" applyFont="1" applyBorder="1" applyAlignment="1"/>
    <xf numFmtId="0" fontId="2" fillId="0" borderId="30" xfId="0" applyFon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4" fontId="6" fillId="5" borderId="11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Continuous" vertical="center"/>
    </xf>
    <xf numFmtId="14" fontId="0" fillId="9" borderId="5" xfId="0" applyNumberForma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1192305</xdr:colOff>
      <xdr:row>4</xdr:row>
      <xdr:rowOff>125506</xdr:rowOff>
    </xdr:from>
    <xdr:to>
      <xdr:col>12</xdr:col>
      <xdr:colOff>143435</xdr:colOff>
      <xdr:row>19</xdr:row>
      <xdr:rowOff>197223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E0D9600-91C3-A284-27A7-2AB4275B6953}"/>
            </a:ext>
          </a:extLst>
        </xdr:cNvPr>
        <xdr:cNvSpPr/>
      </xdr:nvSpPr>
      <xdr:spPr>
        <a:xfrm>
          <a:off x="2294964" y="1039906"/>
          <a:ext cx="18063883" cy="3648635"/>
        </a:xfrm>
        <a:prstGeom prst="rect">
          <a:avLst/>
        </a:prstGeom>
        <a:noFill/>
        <a:ln w="28575">
          <a:solidFill>
            <a:schemeClr val="tx1">
              <a:lumMod val="65000"/>
              <a:lumOff val="3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3396343</xdr:colOff>
      <xdr:row>20</xdr:row>
      <xdr:rowOff>43544</xdr:rowOff>
    </xdr:from>
    <xdr:to>
      <xdr:col>5</xdr:col>
      <xdr:colOff>5192486</xdr:colOff>
      <xdr:row>22</xdr:row>
      <xdr:rowOff>21772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656597-8379-1C1D-97A9-D36F5DB09E37}"/>
            </a:ext>
          </a:extLst>
        </xdr:cNvPr>
        <xdr:cNvSpPr txBox="1"/>
      </xdr:nvSpPr>
      <xdr:spPr>
        <a:xfrm>
          <a:off x="8926286" y="4637315"/>
          <a:ext cx="1796143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수기입력항목</a:t>
          </a:r>
        </a:p>
      </xdr:txBody>
    </xdr:sp>
    <xdr:clientData/>
  </xdr:twoCellAnchor>
  <xdr:twoCellAnchor>
    <xdr:from>
      <xdr:col>2</xdr:col>
      <xdr:colOff>38420</xdr:colOff>
      <xdr:row>4</xdr:row>
      <xdr:rowOff>147278</xdr:rowOff>
    </xdr:from>
    <xdr:to>
      <xdr:col>2</xdr:col>
      <xdr:colOff>1132115</xdr:colOff>
      <xdr:row>20</xdr:row>
      <xdr:rowOff>1281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5DB31E7-F83C-2FC6-2C54-1018CEC84914}"/>
            </a:ext>
          </a:extLst>
        </xdr:cNvPr>
        <xdr:cNvSpPr/>
      </xdr:nvSpPr>
      <xdr:spPr>
        <a:xfrm>
          <a:off x="1137877" y="1039907"/>
          <a:ext cx="1093695" cy="3555145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54429</xdr:colOff>
      <xdr:row>20</xdr:row>
      <xdr:rowOff>43545</xdr:rowOff>
    </xdr:from>
    <xdr:to>
      <xdr:col>2</xdr:col>
      <xdr:colOff>1153886</xdr:colOff>
      <xdr:row>22</xdr:row>
      <xdr:rowOff>21773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E059F1-0DEA-C599-BB2B-BB4BC3271900}"/>
            </a:ext>
          </a:extLst>
        </xdr:cNvPr>
        <xdr:cNvSpPr txBox="1"/>
      </xdr:nvSpPr>
      <xdr:spPr>
        <a:xfrm>
          <a:off x="1153886" y="4637316"/>
          <a:ext cx="1099457" cy="41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3</xdr:col>
      <xdr:colOff>54429</xdr:colOff>
      <xdr:row>23</xdr:row>
      <xdr:rowOff>97971</xdr:rowOff>
    </xdr:from>
    <xdr:to>
      <xdr:col>6</xdr:col>
      <xdr:colOff>322017</xdr:colOff>
      <xdr:row>54</xdr:row>
      <xdr:rowOff>97911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8449595-6D4A-4974-B91B-7EF42B3B68BF}"/>
            </a:ext>
          </a:extLst>
        </xdr:cNvPr>
        <xdr:cNvSpPr txBox="1"/>
      </xdr:nvSpPr>
      <xdr:spPr>
        <a:xfrm>
          <a:off x="2340429" y="5344885"/>
          <a:ext cx="9041474" cy="6759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전체 입력순서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1. </a:t>
          </a:r>
          <a:r>
            <a:rPr lang="ko-KR" altLang="en-US" sz="1100" baseline="0"/>
            <a:t>거래처 입력  ▼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aseline="0"/>
            <a:t>프로젝트 입력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▼</a:t>
          </a:r>
          <a:endParaRPr lang="en-US" altLang="ko-KR" sz="1100" baseline="0"/>
        </a:p>
        <a:p>
          <a:r>
            <a:rPr lang="en-US" altLang="ko-KR" sz="1100" baseline="0"/>
            <a:t>      -    </a:t>
          </a:r>
          <a:r>
            <a:rPr lang="ko-KR" altLang="en-US" sz="1100" baseline="0"/>
            <a:t>프로젝트고유번호는 자동생성</a:t>
          </a:r>
          <a:endParaRPr lang="en-US" altLang="ko-KR" sz="1100" baseline="0"/>
        </a:p>
        <a:p>
          <a:r>
            <a:rPr lang="en-US" altLang="ko-KR" sz="1100" baseline="0"/>
            <a:t>      -    </a:t>
          </a:r>
          <a:r>
            <a:rPr lang="ko-KR" altLang="en-US" sz="1100" baseline="0"/>
            <a:t>프로젝트네임은 사람이 자체 입력 </a:t>
          </a:r>
          <a:r>
            <a:rPr lang="en-US" altLang="ko-KR" sz="1100" baseline="0"/>
            <a:t>( </a:t>
          </a:r>
          <a:r>
            <a:rPr lang="ko-KR" altLang="en-US" sz="1100" baseline="0"/>
            <a:t>앞의 번호를 확인 후 자체적으로 입력 </a:t>
          </a:r>
          <a:r>
            <a:rPr lang="en-US" altLang="ko-KR" sz="1100" baseline="0"/>
            <a:t>)  [ PRO_</a:t>
          </a:r>
          <a:r>
            <a:rPr lang="ko-KR" altLang="en-US" sz="1100" baseline="0"/>
            <a:t>년도</a:t>
          </a:r>
          <a:r>
            <a:rPr lang="en-US" altLang="ko-KR" sz="1100" baseline="0"/>
            <a:t>(4</a:t>
          </a:r>
          <a:r>
            <a:rPr lang="ko-KR" altLang="en-US" sz="1100" baseline="0"/>
            <a:t>자리</a:t>
          </a:r>
          <a:r>
            <a:rPr lang="en-US" altLang="ko-KR" sz="1100" baseline="0"/>
            <a:t>)_</a:t>
          </a:r>
          <a:r>
            <a:rPr lang="ko-KR" altLang="en-US" sz="1100" baseline="0"/>
            <a:t>순서</a:t>
          </a:r>
          <a:r>
            <a:rPr lang="en-US" altLang="ko-KR" sz="1100" baseline="0"/>
            <a:t>(3</a:t>
          </a:r>
          <a:r>
            <a:rPr lang="ko-KR" altLang="en-US" sz="1100" baseline="0"/>
            <a:t>자리</a:t>
          </a:r>
          <a:r>
            <a:rPr lang="en-US" altLang="ko-KR" sz="1100" baseline="0"/>
            <a:t>) </a:t>
          </a:r>
          <a:r>
            <a:rPr lang="ko-KR" altLang="en-US" sz="1100" baseline="0"/>
            <a:t>로 사람이 자체 생성 </a:t>
          </a:r>
          <a:r>
            <a:rPr lang="en-US" altLang="ko-KR" sz="1100" baseline="0"/>
            <a:t>]</a:t>
          </a:r>
        </a:p>
        <a:p>
          <a:r>
            <a:rPr lang="ko-KR" altLang="en-US" sz="1100"/>
            <a:t>      </a:t>
          </a:r>
          <a:r>
            <a:rPr lang="en-US" altLang="ko-KR" sz="1100"/>
            <a:t>- </a:t>
          </a:r>
          <a:r>
            <a:rPr lang="ko-KR" altLang="en-US" sz="1100"/>
            <a:t>   판매업체 및 설치업체는 선택시 </a:t>
          </a:r>
          <a:r>
            <a:rPr lang="en-US" altLang="ko-KR" sz="1100"/>
            <a:t>'</a:t>
          </a:r>
          <a:r>
            <a:rPr lang="ko-KR" altLang="en-US" sz="1100"/>
            <a:t>거래처</a:t>
          </a:r>
          <a:r>
            <a:rPr lang="ko-KR" altLang="en-US" sz="1100" baseline="0"/>
            <a:t> 팝업</a:t>
          </a:r>
          <a:r>
            <a:rPr lang="en-US" altLang="ko-KR" sz="1100" baseline="0"/>
            <a:t>' </a:t>
          </a:r>
          <a:r>
            <a:rPr lang="ko-KR" altLang="en-US" sz="1100" baseline="0"/>
            <a:t>뜨고 리스트에서 선택</a:t>
          </a:r>
          <a:r>
            <a:rPr lang="en-US" altLang="ko-KR" sz="1100" baseline="0"/>
            <a:t>.  </a:t>
          </a:r>
          <a:r>
            <a:rPr lang="ko-KR" altLang="en-US" sz="1100" baseline="0"/>
            <a:t>비선택도 가능 </a:t>
          </a:r>
          <a:r>
            <a:rPr lang="en-US" altLang="ko-KR" sz="1100" baseline="0"/>
            <a:t>(</a:t>
          </a:r>
          <a:r>
            <a:rPr lang="ko-KR" altLang="en-US" sz="1100" baseline="0"/>
            <a:t>물론 추후 수정 가능</a:t>
          </a:r>
          <a:r>
            <a:rPr lang="en-US" altLang="ko-KR" sz="1100" baseline="0"/>
            <a:t>)</a:t>
          </a:r>
        </a:p>
        <a:p>
          <a:r>
            <a:rPr lang="en-US" altLang="ko-KR" sz="1100" baseline="0"/>
            <a:t>      -    </a:t>
          </a:r>
          <a:r>
            <a:rPr lang="ko-KR" altLang="en-US" sz="1100" baseline="0"/>
            <a:t>계약일</a:t>
          </a:r>
          <a:r>
            <a:rPr lang="en-US" altLang="ko-KR" sz="1100" baseline="0"/>
            <a:t>[</a:t>
          </a:r>
          <a:r>
            <a:rPr lang="ko-KR" altLang="en-US" sz="1100" baseline="0"/>
            <a:t>발주일</a:t>
          </a:r>
          <a:r>
            <a:rPr lang="en-US" altLang="ko-KR" sz="1100" baseline="0"/>
            <a:t>] </a:t>
          </a:r>
          <a:r>
            <a:rPr lang="ko-KR" altLang="en-US" sz="1100" baseline="0"/>
            <a:t>은 선택시 날짜 선택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3.  </a:t>
          </a:r>
          <a:r>
            <a:rPr lang="ko-KR" altLang="en-US" sz="1100" baseline="0"/>
            <a:t>네트워크</a:t>
          </a:r>
          <a:r>
            <a:rPr lang="en-US" altLang="ko-KR" sz="1100" baseline="0"/>
            <a:t>(WIFI)</a:t>
          </a:r>
          <a:r>
            <a:rPr lang="ko-KR" altLang="en-US" sz="1100" baseline="0"/>
            <a:t> 입력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▼</a:t>
          </a:r>
          <a:endParaRPr lang="en-US" altLang="ko-KR" sz="1100" baseline="0"/>
        </a:p>
        <a:p>
          <a:r>
            <a:rPr lang="en-US" altLang="ko-KR" sz="1100" baseline="0"/>
            <a:t>     -    </a:t>
          </a:r>
          <a:r>
            <a:rPr lang="ko-KR" altLang="en-US" sz="1100" baseline="0"/>
            <a:t>공유기고유번호 자동생성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프로젝트네임은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선택시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 네임리스트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팝업으로 뜨고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리스트에서 선택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*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필수선택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 </a:t>
          </a:r>
          <a:r>
            <a:rPr lang="en-US" altLang="ko-KR" sz="1100" baseline="0"/>
            <a:t> </a:t>
          </a:r>
          <a:r>
            <a:rPr lang="ko-KR" altLang="en-US" sz="1100" baseline="0"/>
            <a:t>설치업체는 프로젝트네임과 연계되어 프로젝트정보에서의 </a:t>
          </a:r>
          <a:r>
            <a:rPr lang="en-US" altLang="ko-KR" sz="1100" baseline="0"/>
            <a:t>"</a:t>
          </a:r>
          <a:r>
            <a:rPr lang="ko-KR" altLang="en-US" sz="1100" baseline="0"/>
            <a:t>설치업체</a:t>
          </a:r>
          <a:r>
            <a:rPr lang="en-US" altLang="ko-KR" sz="1100" baseline="0"/>
            <a:t>" </a:t>
          </a:r>
          <a:r>
            <a:rPr lang="ko-KR" altLang="en-US" sz="1100" baseline="0"/>
            <a:t>명 자동입력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나머지항목은 사람이 자체 입력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4. </a:t>
          </a:r>
          <a:r>
            <a:rPr lang="ko-KR" altLang="en-US" sz="1100" baseline="0"/>
            <a:t>네트워크</a:t>
          </a:r>
          <a:r>
            <a:rPr lang="en-US" altLang="ko-KR" sz="1100" baseline="0"/>
            <a:t>(LTE) </a:t>
          </a:r>
          <a:r>
            <a:rPr lang="ko-KR" altLang="en-US" sz="1100" baseline="0"/>
            <a:t>입력   ▼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네트워크</a:t>
          </a:r>
          <a:r>
            <a:rPr lang="en-US" altLang="ko-KR" sz="1100" baseline="0"/>
            <a:t>(WIFI)</a:t>
          </a:r>
          <a:r>
            <a:rPr lang="ko-KR" altLang="en-US" sz="1100" baseline="0"/>
            <a:t>방식과 동일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r>
            <a:rPr lang="en-US" altLang="ko-KR" sz="1100" baseline="0"/>
            <a:t>5. </a:t>
          </a:r>
          <a:r>
            <a:rPr lang="ko-KR" altLang="en-US" sz="1100" baseline="0"/>
            <a:t>제품정보 입력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▼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거래고유번호  자동생성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 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6.  </a:t>
          </a:r>
          <a:r>
            <a:rPr lang="ko-KR" altLang="en-US" sz="1100" baseline="0"/>
            <a:t>거래정보 입력</a:t>
          </a:r>
          <a:endParaRPr lang="en-US" altLang="ko-KR" sz="1100" baseline="0"/>
        </a:p>
        <a:p>
          <a:r>
            <a:rPr lang="en-US" altLang="ko-KR" sz="1100" baseline="0"/>
            <a:t>     -   </a:t>
          </a:r>
          <a:r>
            <a:rPr lang="ko-KR" altLang="en-US" sz="1100" baseline="0"/>
            <a:t>금액을 </a:t>
          </a:r>
          <a:r>
            <a:rPr lang="en-US" altLang="ko-KR" sz="1100" baseline="0"/>
            <a:t>HW </a:t>
          </a:r>
          <a:r>
            <a:rPr lang="ko-KR" altLang="en-US" sz="1100" baseline="0"/>
            <a:t>및 </a:t>
          </a:r>
          <a:r>
            <a:rPr lang="en-US" altLang="ko-KR" sz="1100" baseline="0"/>
            <a:t>SW </a:t>
          </a:r>
          <a:r>
            <a:rPr lang="ko-KR" altLang="en-US" sz="1100" baseline="0"/>
            <a:t>로 구분하여 입력</a:t>
          </a:r>
          <a:endParaRPr lang="en-US" altLang="ko-KR" sz="1100" baseline="0"/>
        </a:p>
        <a:p>
          <a:r>
            <a:rPr lang="en-US" altLang="ko-KR" sz="1100" baseline="0"/>
            <a:t>     -   </a:t>
          </a:r>
          <a:r>
            <a:rPr lang="ko-KR" altLang="en-US" sz="1100" baseline="0"/>
            <a:t>차기 계산서 발행의 편의성을 위한 기능추가필요 </a:t>
          </a:r>
          <a:r>
            <a:rPr lang="en-US" altLang="ko-KR" sz="1100" baseline="0"/>
            <a:t>( </a:t>
          </a:r>
          <a:r>
            <a:rPr lang="ko-KR" altLang="en-US" sz="1100" baseline="0"/>
            <a:t>알림</a:t>
          </a:r>
          <a:r>
            <a:rPr lang="en-US" altLang="ko-KR" sz="1100" baseline="0"/>
            <a:t>, </a:t>
          </a:r>
          <a:r>
            <a:rPr lang="ko-KR" altLang="en-US" sz="1100" baseline="0"/>
            <a:t>메일 </a:t>
          </a:r>
          <a:r>
            <a:rPr lang="en-US" altLang="ko-KR" sz="1100" baseline="0"/>
            <a:t>)</a:t>
          </a:r>
        </a:p>
        <a:p>
          <a:endParaRPr lang="en-US" altLang="ko-KR" sz="1100" baseline="0"/>
        </a:p>
        <a:p>
          <a:r>
            <a:rPr lang="en-US" altLang="ko-KR" sz="1100" baseline="0"/>
            <a:t>7. </a:t>
          </a:r>
          <a:r>
            <a:rPr lang="ko-KR" altLang="en-US" sz="1100" baseline="0"/>
            <a:t>세금계산서 항목</a:t>
          </a:r>
          <a:endParaRPr lang="en-US" altLang="ko-KR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64672</xdr:colOff>
      <xdr:row>21</xdr:row>
      <xdr:rowOff>65953</xdr:rowOff>
    </xdr:from>
    <xdr:to>
      <xdr:col>2</xdr:col>
      <xdr:colOff>1210235</xdr:colOff>
      <xdr:row>23</xdr:row>
      <xdr:rowOff>65039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88F288-EB26-48D8-B6FC-1D3AEF91E09C}"/>
            </a:ext>
          </a:extLst>
        </xdr:cNvPr>
        <xdr:cNvSpPr txBox="1"/>
      </xdr:nvSpPr>
      <xdr:spPr>
        <a:xfrm>
          <a:off x="1167331" y="5005506"/>
          <a:ext cx="1145563" cy="447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4</xdr:col>
      <xdr:colOff>161365</xdr:colOff>
      <xdr:row>4</xdr:row>
      <xdr:rowOff>109499</xdr:rowOff>
    </xdr:from>
    <xdr:to>
      <xdr:col>4</xdr:col>
      <xdr:colOff>1613647</xdr:colOff>
      <xdr:row>21</xdr:row>
      <xdr:rowOff>89648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CA2BB8C-FD4F-438D-8F3A-4DA1D63B27B6}"/>
            </a:ext>
          </a:extLst>
        </xdr:cNvPr>
        <xdr:cNvSpPr/>
      </xdr:nvSpPr>
      <xdr:spPr>
        <a:xfrm>
          <a:off x="4007224" y="1023899"/>
          <a:ext cx="1452282" cy="4005302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10885</xdr:colOff>
      <xdr:row>2</xdr:row>
      <xdr:rowOff>83884</xdr:rowOff>
    </xdr:from>
    <xdr:to>
      <xdr:col>6</xdr:col>
      <xdr:colOff>753035</xdr:colOff>
      <xdr:row>4</xdr:row>
      <xdr:rowOff>65040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6B7ECF-87B8-BC18-56BD-BE467E6B130C}"/>
            </a:ext>
          </a:extLst>
        </xdr:cNvPr>
        <xdr:cNvSpPr txBox="1"/>
      </xdr:nvSpPr>
      <xdr:spPr>
        <a:xfrm>
          <a:off x="5595897" y="532119"/>
          <a:ext cx="2346832" cy="447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00B0F0"/>
              </a:solidFill>
            </a:rPr>
            <a:t>입력항목</a:t>
          </a:r>
        </a:p>
      </xdr:txBody>
    </xdr:sp>
    <xdr:clientData/>
  </xdr:twoCellAnchor>
  <xdr:twoCellAnchor>
    <xdr:from>
      <xdr:col>3</xdr:col>
      <xdr:colOff>107575</xdr:colOff>
      <xdr:row>4</xdr:row>
      <xdr:rowOff>152399</xdr:rowOff>
    </xdr:from>
    <xdr:to>
      <xdr:col>3</xdr:col>
      <xdr:colOff>1362634</xdr:colOff>
      <xdr:row>21</xdr:row>
      <xdr:rowOff>71717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8F68775-0F0A-4ED7-934E-8069438A109A}"/>
            </a:ext>
          </a:extLst>
        </xdr:cNvPr>
        <xdr:cNvSpPr/>
      </xdr:nvSpPr>
      <xdr:spPr>
        <a:xfrm>
          <a:off x="2456328" y="1066799"/>
          <a:ext cx="1255059" cy="3944471"/>
        </a:xfrm>
        <a:prstGeom prst="rect">
          <a:avLst/>
        </a:prstGeom>
        <a:noFill/>
        <a:ln w="28575">
          <a:solidFill>
            <a:schemeClr val="tx1">
              <a:lumMod val="65000"/>
              <a:lumOff val="3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408534</xdr:colOff>
      <xdr:row>43</xdr:row>
      <xdr:rowOff>133191</xdr:rowOff>
    </xdr:from>
    <xdr:to>
      <xdr:col>27</xdr:col>
      <xdr:colOff>187619</xdr:colOff>
      <xdr:row>45</xdr:row>
      <xdr:rowOff>111420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4BD0B39-CC6E-4C86-B079-354E7229E783}"/>
            </a:ext>
          </a:extLst>
        </xdr:cNvPr>
        <xdr:cNvSpPr txBox="1"/>
      </xdr:nvSpPr>
      <xdr:spPr>
        <a:xfrm>
          <a:off x="20570158" y="10003332"/>
          <a:ext cx="1796143" cy="426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수기입력항목</a:t>
          </a:r>
        </a:p>
      </xdr:txBody>
    </xdr:sp>
    <xdr:clientData/>
  </xdr:twoCellAnchor>
  <xdr:twoCellAnchor>
    <xdr:from>
      <xdr:col>2</xdr:col>
      <xdr:colOff>80681</xdr:colOff>
      <xdr:row>4</xdr:row>
      <xdr:rowOff>156243</xdr:rowOff>
    </xdr:from>
    <xdr:to>
      <xdr:col>2</xdr:col>
      <xdr:colOff>1156446</xdr:colOff>
      <xdr:row>21</xdr:row>
      <xdr:rowOff>98612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6AF222D-A432-49C4-B836-D3C55E3EBEC6}"/>
            </a:ext>
          </a:extLst>
        </xdr:cNvPr>
        <xdr:cNvSpPr/>
      </xdr:nvSpPr>
      <xdr:spPr>
        <a:xfrm>
          <a:off x="1183340" y="1070643"/>
          <a:ext cx="1075765" cy="3967522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16009</xdr:colOff>
      <xdr:row>43</xdr:row>
      <xdr:rowOff>133192</xdr:rowOff>
    </xdr:from>
    <xdr:to>
      <xdr:col>14</xdr:col>
      <xdr:colOff>443113</xdr:colOff>
      <xdr:row>45</xdr:row>
      <xdr:rowOff>111421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3CD602B-A23E-4AB8-8FBB-C09BDACF7D96}"/>
            </a:ext>
          </a:extLst>
        </xdr:cNvPr>
        <xdr:cNvSpPr txBox="1"/>
      </xdr:nvSpPr>
      <xdr:spPr>
        <a:xfrm>
          <a:off x="12781750" y="10003333"/>
          <a:ext cx="1099457" cy="426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3</xdr:col>
      <xdr:colOff>152398</xdr:colOff>
      <xdr:row>21</xdr:row>
      <xdr:rowOff>53787</xdr:rowOff>
    </xdr:from>
    <xdr:to>
      <xdr:col>4</xdr:col>
      <xdr:colOff>288792</xdr:colOff>
      <xdr:row>23</xdr:row>
      <xdr:rowOff>52873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97BBC85-D213-15AA-D433-31B335F49119}"/>
            </a:ext>
          </a:extLst>
        </xdr:cNvPr>
        <xdr:cNvSpPr txBox="1"/>
      </xdr:nvSpPr>
      <xdr:spPr>
        <a:xfrm>
          <a:off x="2501151" y="4993340"/>
          <a:ext cx="1633500" cy="447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</a:t>
          </a:r>
        </a:p>
      </xdr:txBody>
    </xdr:sp>
    <xdr:clientData/>
  </xdr:twoCellAnchor>
  <xdr:twoCellAnchor>
    <xdr:from>
      <xdr:col>4</xdr:col>
      <xdr:colOff>125505</xdr:colOff>
      <xdr:row>21</xdr:row>
      <xdr:rowOff>143435</xdr:rowOff>
    </xdr:from>
    <xdr:to>
      <xdr:col>6</xdr:col>
      <xdr:colOff>125506</xdr:colOff>
      <xdr:row>23</xdr:row>
      <xdr:rowOff>116542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2E4883-633F-C673-69CC-6565205AFF52}"/>
            </a:ext>
          </a:extLst>
        </xdr:cNvPr>
        <xdr:cNvSpPr txBox="1"/>
      </xdr:nvSpPr>
      <xdr:spPr>
        <a:xfrm>
          <a:off x="3971364" y="5082988"/>
          <a:ext cx="3343836" cy="421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00B050"/>
              </a:solidFill>
            </a:rPr>
            <a:t>"</a:t>
          </a:r>
          <a:r>
            <a:rPr lang="ko-KR" altLang="en-US" sz="1400" b="1">
              <a:solidFill>
                <a:srgbClr val="00B050"/>
              </a:solidFill>
            </a:rPr>
            <a:t>판매처정보</a:t>
          </a:r>
          <a:r>
            <a:rPr lang="en-US" altLang="ko-KR" sz="1400" b="1">
              <a:solidFill>
                <a:srgbClr val="00B050"/>
              </a:solidFill>
            </a:rPr>
            <a:t>-</a:t>
          </a:r>
          <a:r>
            <a:rPr lang="ko-KR" altLang="en-US" sz="1400" b="1">
              <a:solidFill>
                <a:srgbClr val="00B050"/>
              </a:solidFill>
            </a:rPr>
            <a:t>거래처명</a:t>
          </a:r>
          <a:r>
            <a:rPr lang="en-US" altLang="ko-KR" sz="1400" b="1">
              <a:solidFill>
                <a:srgbClr val="00B050"/>
              </a:solidFill>
            </a:rPr>
            <a:t>' </a:t>
          </a:r>
          <a:r>
            <a:rPr lang="ko-KR" altLang="en-US" sz="1400" b="1">
              <a:solidFill>
                <a:srgbClr val="00B050"/>
              </a:solidFill>
            </a:rPr>
            <a:t>에서 선택입력</a:t>
          </a:r>
        </a:p>
      </xdr:txBody>
    </xdr:sp>
    <xdr:clientData/>
  </xdr:twoCellAnchor>
  <xdr:twoCellAnchor>
    <xdr:from>
      <xdr:col>6</xdr:col>
      <xdr:colOff>87086</xdr:colOff>
      <xdr:row>4</xdr:row>
      <xdr:rowOff>125506</xdr:rowOff>
    </xdr:from>
    <xdr:to>
      <xdr:col>6</xdr:col>
      <xdr:colOff>1445880</xdr:colOff>
      <xdr:row>21</xdr:row>
      <xdr:rowOff>116541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DB0F18AE-CBC3-AE86-2039-9718E40C53BB}"/>
            </a:ext>
          </a:extLst>
        </xdr:cNvPr>
        <xdr:cNvSpPr/>
      </xdr:nvSpPr>
      <xdr:spPr>
        <a:xfrm>
          <a:off x="7276780" y="1039906"/>
          <a:ext cx="1358794" cy="4016188"/>
        </a:xfrm>
        <a:prstGeom prst="rect">
          <a:avLst/>
        </a:prstGeom>
        <a:noFill/>
        <a:ln w="28575">
          <a:solidFill>
            <a:schemeClr val="tx1">
              <a:lumMod val="65000"/>
              <a:lumOff val="3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161363</xdr:colOff>
      <xdr:row>21</xdr:row>
      <xdr:rowOff>80682</xdr:rowOff>
    </xdr:from>
    <xdr:to>
      <xdr:col>7</xdr:col>
      <xdr:colOff>252933</xdr:colOff>
      <xdr:row>23</xdr:row>
      <xdr:rowOff>79768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AEBCC91-490B-8395-834F-365F7F53A0FF}"/>
            </a:ext>
          </a:extLst>
        </xdr:cNvPr>
        <xdr:cNvSpPr txBox="1"/>
      </xdr:nvSpPr>
      <xdr:spPr>
        <a:xfrm>
          <a:off x="7351057" y="5020235"/>
          <a:ext cx="1633500" cy="447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</a:t>
          </a:r>
        </a:p>
      </xdr:txBody>
    </xdr:sp>
    <xdr:clientData/>
  </xdr:twoCellAnchor>
  <xdr:twoCellAnchor>
    <xdr:from>
      <xdr:col>5</xdr:col>
      <xdr:colOff>53792</xdr:colOff>
      <xdr:row>4</xdr:row>
      <xdr:rowOff>91569</xdr:rowOff>
    </xdr:from>
    <xdr:to>
      <xdr:col>5</xdr:col>
      <xdr:colOff>1550894</xdr:colOff>
      <xdr:row>21</xdr:row>
      <xdr:rowOff>71718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BBA07491-F89E-FE45-CC3D-F909864F6E68}"/>
            </a:ext>
          </a:extLst>
        </xdr:cNvPr>
        <xdr:cNvSpPr/>
      </xdr:nvSpPr>
      <xdr:spPr>
        <a:xfrm>
          <a:off x="5638804" y="1005969"/>
          <a:ext cx="1497102" cy="4005302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637553</xdr:colOff>
      <xdr:row>0</xdr:row>
      <xdr:rowOff>55419</xdr:rowOff>
    </xdr:from>
    <xdr:to>
      <xdr:col>8</xdr:col>
      <xdr:colOff>787631</xdr:colOff>
      <xdr:row>4</xdr:row>
      <xdr:rowOff>136101</xdr:rowOff>
    </xdr:to>
    <xdr:sp macro="" textlink="">
      <xdr:nvSpPr>
        <xdr:cNvPr id="6" name="말풍선: 모서리가 둥근 사각형 5">
          <a:extLst>
            <a:ext uri="{FF2B5EF4-FFF2-40B4-BE49-F238E27FC236}">
              <a16:creationId xmlns:a16="http://schemas.microsoft.com/office/drawing/2014/main" id="{DA27A4A4-EC68-464A-8A23-34B885F59331}"/>
            </a:ext>
          </a:extLst>
        </xdr:cNvPr>
        <xdr:cNvSpPr/>
      </xdr:nvSpPr>
      <xdr:spPr>
        <a:xfrm>
          <a:off x="4502971" y="55419"/>
          <a:ext cx="6287642" cy="995082"/>
        </a:xfrm>
        <a:prstGeom prst="wedgeRoundRectCallout">
          <a:avLst>
            <a:gd name="adj1" fmla="val -38681"/>
            <a:gd name="adj2" fmla="val 8060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복수의 프로젝트네임을 보여주고 선택</a:t>
          </a:r>
          <a:endParaRPr lang="en-US" altLang="ko-KR" sz="1100" b="1" baseline="0"/>
        </a:p>
      </xdr:txBody>
    </xdr:sp>
    <xdr:clientData/>
  </xdr:twoCellAnchor>
  <xdr:twoCellAnchor>
    <xdr:from>
      <xdr:col>1</xdr:col>
      <xdr:colOff>426462</xdr:colOff>
      <xdr:row>22</xdr:row>
      <xdr:rowOff>217714</xdr:rowOff>
    </xdr:from>
    <xdr:to>
      <xdr:col>2</xdr:col>
      <xdr:colOff>1141719</xdr:colOff>
      <xdr:row>24</xdr:row>
      <xdr:rowOff>203993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E7C82B-9C07-4AA6-8DE6-EF3D96FA63BF}"/>
            </a:ext>
          </a:extLst>
        </xdr:cNvPr>
        <xdr:cNvSpPr txBox="1"/>
      </xdr:nvSpPr>
      <xdr:spPr>
        <a:xfrm>
          <a:off x="1098815" y="5381385"/>
          <a:ext cx="1145563" cy="434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3</xdr:col>
      <xdr:colOff>169812</xdr:colOff>
      <xdr:row>4</xdr:row>
      <xdr:rowOff>143435</xdr:rowOff>
    </xdr:from>
    <xdr:to>
      <xdr:col>3</xdr:col>
      <xdr:colOff>1367931</xdr:colOff>
      <xdr:row>22</xdr:row>
      <xdr:rowOff>188257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15C75C4-0D73-4A19-B0B1-806C1FB0E5A7}"/>
            </a:ext>
          </a:extLst>
        </xdr:cNvPr>
        <xdr:cNvSpPr/>
      </xdr:nvSpPr>
      <xdr:spPr>
        <a:xfrm>
          <a:off x="2509152" y="1042595"/>
          <a:ext cx="1198119" cy="4235822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53340</xdr:colOff>
      <xdr:row>4</xdr:row>
      <xdr:rowOff>154322</xdr:rowOff>
    </xdr:from>
    <xdr:to>
      <xdr:col>2</xdr:col>
      <xdr:colOff>1143000</xdr:colOff>
      <xdr:row>22</xdr:row>
      <xdr:rowOff>197223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BCCA5F4-60DD-4912-8296-344C27AB45AF}"/>
            </a:ext>
          </a:extLst>
        </xdr:cNvPr>
        <xdr:cNvSpPr/>
      </xdr:nvSpPr>
      <xdr:spPr>
        <a:xfrm>
          <a:off x="1150620" y="1053482"/>
          <a:ext cx="1089660" cy="4233901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16009</xdr:colOff>
      <xdr:row>22</xdr:row>
      <xdr:rowOff>220916</xdr:rowOff>
    </xdr:from>
    <xdr:to>
      <xdr:col>9</xdr:col>
      <xdr:colOff>424545</xdr:colOff>
      <xdr:row>24</xdr:row>
      <xdr:rowOff>207195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0B27E0-C6EB-4834-BB56-2FB341E8B8D6}"/>
            </a:ext>
          </a:extLst>
        </xdr:cNvPr>
        <xdr:cNvSpPr txBox="1"/>
      </xdr:nvSpPr>
      <xdr:spPr>
        <a:xfrm>
          <a:off x="10029585" y="5384587"/>
          <a:ext cx="1627736" cy="434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</a:t>
          </a:r>
        </a:p>
      </xdr:txBody>
    </xdr:sp>
    <xdr:clientData/>
  </xdr:twoCellAnchor>
  <xdr:twoCellAnchor>
    <xdr:from>
      <xdr:col>3</xdr:col>
      <xdr:colOff>17930</xdr:colOff>
      <xdr:row>23</xdr:row>
      <xdr:rowOff>1</xdr:rowOff>
    </xdr:from>
    <xdr:to>
      <xdr:col>3</xdr:col>
      <xdr:colOff>1461247</xdr:colOff>
      <xdr:row>27</xdr:row>
      <xdr:rowOff>206188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3E77ED-AC8F-4618-A134-6B6F6DA747FD}"/>
            </a:ext>
          </a:extLst>
        </xdr:cNvPr>
        <xdr:cNvSpPr txBox="1"/>
      </xdr:nvSpPr>
      <xdr:spPr>
        <a:xfrm>
          <a:off x="2366683" y="5387789"/>
          <a:ext cx="1443317" cy="1102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00B050"/>
              </a:solidFill>
            </a:rPr>
            <a:t>"</a:t>
          </a:r>
          <a:r>
            <a:rPr lang="ko-KR" altLang="en-US" sz="1400" b="1">
              <a:solidFill>
                <a:srgbClr val="00B050"/>
              </a:solidFill>
            </a:rPr>
            <a:t>프로젝트정보</a:t>
          </a:r>
          <a:r>
            <a:rPr lang="en-US" altLang="ko-KR" sz="1400" b="1">
              <a:solidFill>
                <a:srgbClr val="00B050"/>
              </a:solidFill>
            </a:rPr>
            <a:t>-</a:t>
          </a:r>
          <a:r>
            <a:rPr lang="ko-KR" altLang="en-US" sz="1400" b="1">
              <a:solidFill>
                <a:srgbClr val="00B050"/>
              </a:solidFill>
            </a:rPr>
            <a:t>프로젝트네임</a:t>
          </a:r>
          <a:r>
            <a:rPr lang="en-US" altLang="ko-KR" sz="1400" b="1">
              <a:solidFill>
                <a:srgbClr val="00B050"/>
              </a:solidFill>
            </a:rPr>
            <a:t>' </a:t>
          </a:r>
          <a:r>
            <a:rPr lang="ko-KR" altLang="en-US" sz="1400" b="1">
              <a:solidFill>
                <a:srgbClr val="00B050"/>
              </a:solidFill>
            </a:rPr>
            <a:t>에서 선택입력</a:t>
          </a:r>
        </a:p>
      </xdr:txBody>
    </xdr:sp>
    <xdr:clientData/>
  </xdr:twoCellAnchor>
  <xdr:twoCellAnchor>
    <xdr:from>
      <xdr:col>5</xdr:col>
      <xdr:colOff>46108</xdr:colOff>
      <xdr:row>4</xdr:row>
      <xdr:rowOff>125506</xdr:rowOff>
    </xdr:from>
    <xdr:to>
      <xdr:col>12</xdr:col>
      <xdr:colOff>89647</xdr:colOff>
      <xdr:row>22</xdr:row>
      <xdr:rowOff>170328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8BD8F82-6DE0-2C7D-2104-DD023DFBE6CF}"/>
            </a:ext>
          </a:extLst>
        </xdr:cNvPr>
        <xdr:cNvSpPr/>
      </xdr:nvSpPr>
      <xdr:spPr>
        <a:xfrm>
          <a:off x="5568367" y="1039906"/>
          <a:ext cx="9788174" cy="4294093"/>
        </a:xfrm>
        <a:prstGeom prst="rect">
          <a:avLst/>
        </a:prstGeom>
        <a:noFill/>
        <a:ln w="28575">
          <a:solidFill>
            <a:schemeClr val="tx1">
              <a:lumMod val="50000"/>
              <a:lumOff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346363</xdr:colOff>
      <xdr:row>15</xdr:row>
      <xdr:rowOff>182576</xdr:rowOff>
    </xdr:from>
    <xdr:to>
      <xdr:col>33</xdr:col>
      <xdr:colOff>490341</xdr:colOff>
      <xdr:row>46</xdr:row>
      <xdr:rowOff>-1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D57EAD-EF2A-47C8-B6F9-ED6ED65538AE}"/>
            </a:ext>
          </a:extLst>
        </xdr:cNvPr>
        <xdr:cNvSpPr txBox="1"/>
      </xdr:nvSpPr>
      <xdr:spPr>
        <a:xfrm>
          <a:off x="23835013" y="3802076"/>
          <a:ext cx="10811978" cy="69040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입력순서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1. </a:t>
          </a:r>
          <a:r>
            <a:rPr lang="ko-KR" altLang="en-US" sz="1100" baseline="0"/>
            <a:t>거래처 입력  ▼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aseline="0"/>
            <a:t>프로젝트 입력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▼</a:t>
          </a:r>
          <a:endParaRPr lang="en-US" altLang="ko-KR" sz="1100" baseline="0"/>
        </a:p>
        <a:p>
          <a:r>
            <a:rPr lang="en-US" altLang="ko-KR" sz="1100" baseline="0"/>
            <a:t>      -    </a:t>
          </a:r>
          <a:r>
            <a:rPr lang="ko-KR" altLang="en-US" sz="1100" baseline="0"/>
            <a:t>프로젝트고유번호는 자동생성</a:t>
          </a:r>
          <a:endParaRPr lang="en-US" altLang="ko-KR" sz="1100" baseline="0"/>
        </a:p>
        <a:p>
          <a:r>
            <a:rPr lang="en-US" altLang="ko-KR" sz="1100" baseline="0"/>
            <a:t>      -    </a:t>
          </a:r>
          <a:r>
            <a:rPr lang="ko-KR" altLang="en-US" sz="1100" baseline="0"/>
            <a:t>프로젝트네임은 사람이 자체 입력 </a:t>
          </a:r>
          <a:r>
            <a:rPr lang="en-US" altLang="ko-KR" sz="1100" baseline="0"/>
            <a:t>( </a:t>
          </a:r>
          <a:r>
            <a:rPr lang="ko-KR" altLang="en-US" sz="1100" baseline="0"/>
            <a:t>앞의 번호를 확인 후 자체적으로 입력 </a:t>
          </a:r>
          <a:r>
            <a:rPr lang="en-US" altLang="ko-KR" sz="1100" baseline="0"/>
            <a:t>)  [ PRO_</a:t>
          </a:r>
          <a:r>
            <a:rPr lang="ko-KR" altLang="en-US" sz="1100" baseline="0"/>
            <a:t>년도</a:t>
          </a:r>
          <a:r>
            <a:rPr lang="en-US" altLang="ko-KR" sz="1100" baseline="0"/>
            <a:t>(4</a:t>
          </a:r>
          <a:r>
            <a:rPr lang="ko-KR" altLang="en-US" sz="1100" baseline="0"/>
            <a:t>자리</a:t>
          </a:r>
          <a:r>
            <a:rPr lang="en-US" altLang="ko-KR" sz="1100" baseline="0"/>
            <a:t>)_</a:t>
          </a:r>
          <a:r>
            <a:rPr lang="ko-KR" altLang="en-US" sz="1100" baseline="0"/>
            <a:t>순서</a:t>
          </a:r>
          <a:r>
            <a:rPr lang="en-US" altLang="ko-KR" sz="1100" baseline="0"/>
            <a:t>(3</a:t>
          </a:r>
          <a:r>
            <a:rPr lang="ko-KR" altLang="en-US" sz="1100" baseline="0"/>
            <a:t>자리</a:t>
          </a:r>
          <a:r>
            <a:rPr lang="en-US" altLang="ko-KR" sz="1100" baseline="0"/>
            <a:t>) </a:t>
          </a:r>
          <a:r>
            <a:rPr lang="ko-KR" altLang="en-US" sz="1100" baseline="0"/>
            <a:t>로 사람이 자체 생성 </a:t>
          </a:r>
          <a:r>
            <a:rPr lang="en-US" altLang="ko-KR" sz="1100" baseline="0"/>
            <a:t>]</a:t>
          </a:r>
        </a:p>
        <a:p>
          <a:r>
            <a:rPr lang="ko-KR" altLang="en-US" sz="1100"/>
            <a:t>      </a:t>
          </a:r>
          <a:r>
            <a:rPr lang="en-US" altLang="ko-KR" sz="1100"/>
            <a:t>- </a:t>
          </a:r>
          <a:r>
            <a:rPr lang="ko-KR" altLang="en-US" sz="1100"/>
            <a:t>   판매업체 및 설치업체는 선택시 </a:t>
          </a:r>
          <a:r>
            <a:rPr lang="en-US" altLang="ko-KR" sz="1100"/>
            <a:t>'</a:t>
          </a:r>
          <a:r>
            <a:rPr lang="ko-KR" altLang="en-US" sz="1100"/>
            <a:t>거래처</a:t>
          </a:r>
          <a:r>
            <a:rPr lang="ko-KR" altLang="en-US" sz="1100" baseline="0"/>
            <a:t> 팝업</a:t>
          </a:r>
          <a:r>
            <a:rPr lang="en-US" altLang="ko-KR" sz="1100" baseline="0"/>
            <a:t>' </a:t>
          </a:r>
          <a:r>
            <a:rPr lang="ko-KR" altLang="en-US" sz="1100" baseline="0"/>
            <a:t>뜨고 리스트에서 선택</a:t>
          </a:r>
          <a:r>
            <a:rPr lang="en-US" altLang="ko-KR" sz="1100" baseline="0"/>
            <a:t>.  </a:t>
          </a:r>
          <a:r>
            <a:rPr lang="ko-KR" altLang="en-US" sz="1100" baseline="0"/>
            <a:t>비선택도 가능 </a:t>
          </a:r>
          <a:r>
            <a:rPr lang="en-US" altLang="ko-KR" sz="1100" baseline="0"/>
            <a:t>(</a:t>
          </a:r>
          <a:r>
            <a:rPr lang="ko-KR" altLang="en-US" sz="1100" baseline="0"/>
            <a:t>물론 추후 수정 가능</a:t>
          </a:r>
          <a:r>
            <a:rPr lang="en-US" altLang="ko-KR" sz="1100" baseline="0"/>
            <a:t>)</a:t>
          </a:r>
        </a:p>
        <a:p>
          <a:r>
            <a:rPr lang="en-US" altLang="ko-KR" sz="1100" baseline="0"/>
            <a:t>      -    </a:t>
          </a:r>
          <a:r>
            <a:rPr lang="ko-KR" altLang="en-US" sz="1100" baseline="0"/>
            <a:t>계약일</a:t>
          </a:r>
          <a:r>
            <a:rPr lang="en-US" altLang="ko-KR" sz="1100" baseline="0"/>
            <a:t>[</a:t>
          </a:r>
          <a:r>
            <a:rPr lang="ko-KR" altLang="en-US" sz="1100" baseline="0"/>
            <a:t>발주일</a:t>
          </a:r>
          <a:r>
            <a:rPr lang="en-US" altLang="ko-KR" sz="1100" baseline="0"/>
            <a:t>] </a:t>
          </a:r>
          <a:r>
            <a:rPr lang="ko-KR" altLang="en-US" sz="1100" baseline="0"/>
            <a:t>은 선택시 날짜 선택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3.  </a:t>
          </a:r>
          <a:r>
            <a:rPr lang="ko-KR" altLang="en-US" sz="1100" baseline="0"/>
            <a:t>네트워크</a:t>
          </a:r>
          <a:r>
            <a:rPr lang="en-US" altLang="ko-KR" sz="1100" baseline="0"/>
            <a:t>(WIFI)</a:t>
          </a:r>
          <a:r>
            <a:rPr lang="ko-KR" altLang="en-US" sz="1100" baseline="0"/>
            <a:t> 입력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▼</a:t>
          </a:r>
          <a:endParaRPr lang="en-US" altLang="ko-KR" sz="1100" baseline="0"/>
        </a:p>
        <a:p>
          <a:r>
            <a:rPr lang="en-US" altLang="ko-KR" sz="1100" baseline="0"/>
            <a:t>     -    </a:t>
          </a:r>
          <a:r>
            <a:rPr lang="ko-KR" altLang="en-US" sz="1100" baseline="0"/>
            <a:t>공유기고유번호 자동생성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프로젝트네임은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선택시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 네임리스트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팝업으로 뜨고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리스트에서 선택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*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필수선택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 </a:t>
          </a:r>
          <a:r>
            <a:rPr lang="en-US" altLang="ko-KR" sz="1100" baseline="0"/>
            <a:t> </a:t>
          </a:r>
          <a:r>
            <a:rPr lang="ko-KR" altLang="en-US" sz="1100" baseline="0"/>
            <a:t>설치업체는 프로젝트네임과 연계되어 프로젝트정보에서의 </a:t>
          </a:r>
          <a:r>
            <a:rPr lang="en-US" altLang="ko-KR" sz="1100" baseline="0"/>
            <a:t>"</a:t>
          </a:r>
          <a:r>
            <a:rPr lang="ko-KR" altLang="en-US" sz="1100" baseline="0"/>
            <a:t>설치업체</a:t>
          </a:r>
          <a:r>
            <a:rPr lang="en-US" altLang="ko-KR" sz="1100" baseline="0"/>
            <a:t>" </a:t>
          </a:r>
          <a:r>
            <a:rPr lang="ko-KR" altLang="en-US" sz="1100" baseline="0"/>
            <a:t>명 자동입력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나머지항목은 사람이 자체 입력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4. </a:t>
          </a:r>
          <a:r>
            <a:rPr lang="ko-KR" altLang="en-US" sz="1100" baseline="0"/>
            <a:t>네트워크</a:t>
          </a:r>
          <a:r>
            <a:rPr lang="en-US" altLang="ko-KR" sz="1100" baseline="0"/>
            <a:t>(LTE) </a:t>
          </a:r>
          <a:r>
            <a:rPr lang="ko-KR" altLang="en-US" sz="1100" baseline="0"/>
            <a:t>입력   ▼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 -    </a:t>
          </a:r>
          <a:r>
            <a:rPr lang="ko-KR" altLang="en-US" sz="1100" baseline="0"/>
            <a:t>네트워크</a:t>
          </a:r>
          <a:r>
            <a:rPr lang="en-US" altLang="ko-KR" sz="1100" baseline="0"/>
            <a:t>(WIFI)</a:t>
          </a:r>
          <a:r>
            <a:rPr lang="ko-KR" altLang="en-US" sz="1100" baseline="0"/>
            <a:t>방식과 동일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r>
            <a:rPr lang="en-US" altLang="ko-KR" sz="1100" baseline="0"/>
            <a:t>5. </a:t>
          </a:r>
          <a:r>
            <a:rPr lang="ko-KR" altLang="en-US" sz="1100" baseline="0"/>
            <a:t>제품정보 입력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     </a:t>
          </a:r>
          <a:endParaRPr lang="ko-KR" altLang="en-US" sz="1100"/>
        </a:p>
      </xdr:txBody>
    </xdr:sp>
    <xdr:clientData/>
  </xdr:twoCellAnchor>
  <xdr:twoCellAnchor>
    <xdr:from>
      <xdr:col>17</xdr:col>
      <xdr:colOff>348063</xdr:colOff>
      <xdr:row>5</xdr:row>
      <xdr:rowOff>41563</xdr:rowOff>
    </xdr:from>
    <xdr:to>
      <xdr:col>33</xdr:col>
      <xdr:colOff>473176</xdr:colOff>
      <xdr:row>15</xdr:row>
      <xdr:rowOff>44735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94C927-7CFE-4D67-BF47-DA10A261F250}"/>
            </a:ext>
          </a:extLst>
        </xdr:cNvPr>
        <xdr:cNvSpPr txBox="1"/>
      </xdr:nvSpPr>
      <xdr:spPr>
        <a:xfrm>
          <a:off x="23831518" y="1191490"/>
          <a:ext cx="10765403" cy="2427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="1" baseline="0">
              <a:solidFill>
                <a:srgbClr val="FF0000"/>
              </a:solidFill>
            </a:rPr>
            <a:t>빨간색</a:t>
          </a:r>
          <a:r>
            <a:rPr lang="ko-KR" altLang="en-US" sz="1100" baseline="0"/>
            <a:t> 은 기준점</a:t>
          </a:r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="1" baseline="0"/>
            <a:t>흑색</a:t>
          </a:r>
          <a:r>
            <a:rPr lang="ko-KR" altLang="en-US" sz="1100" baseline="0"/>
            <a:t>은 정보에 입력하는 항목</a:t>
          </a:r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="1" baseline="0">
              <a:solidFill>
                <a:srgbClr val="00B050"/>
              </a:solidFill>
            </a:rPr>
            <a:t>녹색</a:t>
          </a:r>
          <a:r>
            <a:rPr lang="ko-KR" altLang="en-US" sz="1100" baseline="0"/>
            <a:t>은 팝업메뉴에서 선택입력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ko-KR" altLang="en-US" sz="1100" b="1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청색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프로젝트네임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항목에 따라 자동입력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청색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은 다른항목의 기준점</a:t>
          </a:r>
          <a:endParaRPr lang="ko-KR" altLang="ko-KR">
            <a:effectLst/>
          </a:endParaRPr>
        </a:p>
        <a:p>
          <a:endParaRPr lang="en-US" altLang="ko-KR" sz="1100" baseline="0"/>
        </a:p>
        <a:p>
          <a:r>
            <a:rPr lang="en-US" altLang="ko-KR" sz="1100" baseline="0"/>
            <a:t>5. </a:t>
          </a:r>
          <a:r>
            <a:rPr lang="ko-KR" altLang="en-US" sz="1100" b="1" baseline="0">
              <a:solidFill>
                <a:srgbClr val="7030A0"/>
              </a:solidFill>
            </a:rPr>
            <a:t>보래색</a:t>
          </a:r>
          <a:r>
            <a:rPr lang="ko-KR" altLang="en-US" sz="1100" baseline="0"/>
            <a:t>은 선택메뉴 중 택</a:t>
          </a:r>
          <a:r>
            <a:rPr lang="en-US" altLang="ko-KR" sz="1100" baseline="0"/>
            <a:t>1</a:t>
          </a:r>
        </a:p>
        <a:p>
          <a:r>
            <a:rPr lang="en-US" altLang="ko-KR" sz="1100" baseline="0"/>
            <a:t>6. </a:t>
          </a:r>
          <a:endParaRPr lang="ko-KR" altLang="en-US" sz="1100"/>
        </a:p>
      </xdr:txBody>
    </xdr:sp>
    <xdr:clientData/>
  </xdr:twoCellAnchor>
  <xdr:twoCellAnchor>
    <xdr:from>
      <xdr:col>2</xdr:col>
      <xdr:colOff>77712</xdr:colOff>
      <xdr:row>15</xdr:row>
      <xdr:rowOff>214919</xdr:rowOff>
    </xdr:from>
    <xdr:to>
      <xdr:col>3</xdr:col>
      <xdr:colOff>900226</xdr:colOff>
      <xdr:row>17</xdr:row>
      <xdr:rowOff>199813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F1D5A2-D1DC-440A-9C29-996A108C8C0D}"/>
            </a:ext>
          </a:extLst>
        </xdr:cNvPr>
        <xdr:cNvSpPr txBox="1"/>
      </xdr:nvSpPr>
      <xdr:spPr>
        <a:xfrm>
          <a:off x="1177169" y="3720119"/>
          <a:ext cx="2096143" cy="420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3</xdr:col>
      <xdr:colOff>58864</xdr:colOff>
      <xdr:row>4</xdr:row>
      <xdr:rowOff>128765</xdr:rowOff>
    </xdr:from>
    <xdr:to>
      <xdr:col>3</xdr:col>
      <xdr:colOff>1382486</xdr:colOff>
      <xdr:row>15</xdr:row>
      <xdr:rowOff>124691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26C3640-EBE0-45F8-BA9A-6394A1CD2D29}"/>
            </a:ext>
          </a:extLst>
        </xdr:cNvPr>
        <xdr:cNvSpPr/>
      </xdr:nvSpPr>
      <xdr:spPr>
        <a:xfrm>
          <a:off x="2431950" y="1021394"/>
          <a:ext cx="1323622" cy="2608497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415637</xdr:colOff>
      <xdr:row>4</xdr:row>
      <xdr:rowOff>139652</xdr:rowOff>
    </xdr:from>
    <xdr:to>
      <xdr:col>2</xdr:col>
      <xdr:colOff>1219200</xdr:colOff>
      <xdr:row>15</xdr:row>
      <xdr:rowOff>130629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B9BF48B9-418D-45AB-A12B-7D91F23BC8ED}"/>
            </a:ext>
          </a:extLst>
        </xdr:cNvPr>
        <xdr:cNvSpPr/>
      </xdr:nvSpPr>
      <xdr:spPr>
        <a:xfrm>
          <a:off x="1090551" y="1032281"/>
          <a:ext cx="1228106" cy="2603548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460729</xdr:colOff>
      <xdr:row>16</xdr:row>
      <xdr:rowOff>407</xdr:rowOff>
    </xdr:from>
    <xdr:to>
      <xdr:col>11</xdr:col>
      <xdr:colOff>1083952</xdr:colOff>
      <xdr:row>17</xdr:row>
      <xdr:rowOff>203015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6253F5-13C3-4E0F-BC79-60E7C3CBAEC7}"/>
            </a:ext>
          </a:extLst>
        </xdr:cNvPr>
        <xdr:cNvSpPr txBox="1"/>
      </xdr:nvSpPr>
      <xdr:spPr>
        <a:xfrm>
          <a:off x="12206415" y="3723321"/>
          <a:ext cx="2996308" cy="420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</a:t>
          </a:r>
        </a:p>
      </xdr:txBody>
    </xdr:sp>
    <xdr:clientData/>
  </xdr:twoCellAnchor>
  <xdr:twoCellAnchor>
    <xdr:from>
      <xdr:col>3</xdr:col>
      <xdr:colOff>30685</xdr:colOff>
      <xdr:row>16</xdr:row>
      <xdr:rowOff>472</xdr:rowOff>
    </xdr:from>
    <xdr:to>
      <xdr:col>4</xdr:col>
      <xdr:colOff>1236066</xdr:colOff>
      <xdr:row>20</xdr:row>
      <xdr:rowOff>199930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7193E2-A4A3-4847-8606-8DB728720EE4}"/>
            </a:ext>
          </a:extLst>
        </xdr:cNvPr>
        <xdr:cNvSpPr txBox="1"/>
      </xdr:nvSpPr>
      <xdr:spPr>
        <a:xfrm>
          <a:off x="2403771" y="3723386"/>
          <a:ext cx="2642295" cy="1070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00B050"/>
              </a:solidFill>
            </a:rPr>
            <a:t>"</a:t>
          </a:r>
          <a:r>
            <a:rPr lang="ko-KR" altLang="en-US" sz="1400" b="1">
              <a:solidFill>
                <a:srgbClr val="00B050"/>
              </a:solidFill>
            </a:rPr>
            <a:t>프로젝트정보</a:t>
          </a:r>
          <a:r>
            <a:rPr lang="en-US" altLang="ko-KR" sz="1400" b="1">
              <a:solidFill>
                <a:srgbClr val="00B050"/>
              </a:solidFill>
            </a:rPr>
            <a:t>-</a:t>
          </a:r>
          <a:r>
            <a:rPr lang="ko-KR" altLang="en-US" sz="1400" b="1">
              <a:solidFill>
                <a:srgbClr val="00B050"/>
              </a:solidFill>
            </a:rPr>
            <a:t>프로젝트네임</a:t>
          </a:r>
          <a:r>
            <a:rPr lang="en-US" altLang="ko-KR" sz="1400" b="1">
              <a:solidFill>
                <a:srgbClr val="00B050"/>
              </a:solidFill>
            </a:rPr>
            <a:t>' </a:t>
          </a:r>
          <a:r>
            <a:rPr lang="ko-KR" altLang="en-US" sz="1400" b="1">
              <a:solidFill>
                <a:srgbClr val="00B050"/>
              </a:solidFill>
            </a:rPr>
            <a:t>에서 선택입력</a:t>
          </a:r>
        </a:p>
      </xdr:txBody>
    </xdr:sp>
    <xdr:clientData/>
  </xdr:twoCellAnchor>
  <xdr:twoCellAnchor>
    <xdr:from>
      <xdr:col>5</xdr:col>
      <xdr:colOff>8292</xdr:colOff>
      <xdr:row>4</xdr:row>
      <xdr:rowOff>110836</xdr:rowOff>
    </xdr:from>
    <xdr:to>
      <xdr:col>17</xdr:col>
      <xdr:colOff>96980</xdr:colOff>
      <xdr:row>15</xdr:row>
      <xdr:rowOff>180109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F9113E1-1B5D-48B8-BCAD-EAB046252331}"/>
            </a:ext>
          </a:extLst>
        </xdr:cNvPr>
        <xdr:cNvSpPr/>
      </xdr:nvSpPr>
      <xdr:spPr>
        <a:xfrm>
          <a:off x="5605528" y="1025236"/>
          <a:ext cx="17974907" cy="2729346"/>
        </a:xfrm>
        <a:prstGeom prst="rect">
          <a:avLst/>
        </a:prstGeom>
        <a:noFill/>
        <a:ln w="28575">
          <a:solidFill>
            <a:schemeClr val="tx1">
              <a:lumMod val="50000"/>
              <a:lumOff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755072</xdr:colOff>
      <xdr:row>1</xdr:row>
      <xdr:rowOff>72242</xdr:rowOff>
    </xdr:from>
    <xdr:to>
      <xdr:col>10</xdr:col>
      <xdr:colOff>491836</xdr:colOff>
      <xdr:row>3</xdr:row>
      <xdr:rowOff>169224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E72AE7-6ADA-8FD3-D8AD-05993CA77C9B}"/>
            </a:ext>
          </a:extLst>
        </xdr:cNvPr>
        <xdr:cNvSpPr txBox="1"/>
      </xdr:nvSpPr>
      <xdr:spPr>
        <a:xfrm>
          <a:off x="7885215" y="289956"/>
          <a:ext cx="5538850" cy="54329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>
              <a:solidFill>
                <a:srgbClr val="FF0000"/>
              </a:solidFill>
            </a:rPr>
            <a:t>이 항목은  </a:t>
          </a:r>
          <a:r>
            <a:rPr lang="en-US" altLang="ko-KR" sz="1400" b="1">
              <a:solidFill>
                <a:srgbClr val="FF0000"/>
              </a:solidFill>
            </a:rPr>
            <a:t>LTE</a:t>
          </a:r>
          <a:r>
            <a:rPr lang="en-US" altLang="ko-KR" sz="1400" b="1" baseline="0">
              <a:solidFill>
                <a:srgbClr val="FF0000"/>
              </a:solidFill>
            </a:rPr>
            <a:t> </a:t>
          </a:r>
          <a:r>
            <a:rPr lang="ko-KR" altLang="en-US" sz="1400" b="1" baseline="0">
              <a:solidFill>
                <a:srgbClr val="FF0000"/>
              </a:solidFill>
            </a:rPr>
            <a:t>를 사용하지 않을 경우에는 입력할 필요가 없음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178723</xdr:colOff>
      <xdr:row>0</xdr:row>
      <xdr:rowOff>80357</xdr:rowOff>
    </xdr:from>
    <xdr:to>
      <xdr:col>6</xdr:col>
      <xdr:colOff>935083</xdr:colOff>
      <xdr:row>4</xdr:row>
      <xdr:rowOff>145799</xdr:rowOff>
    </xdr:to>
    <xdr:sp macro="" textlink="">
      <xdr:nvSpPr>
        <xdr:cNvPr id="14" name="말풍선: 모서리가 둥근 사각형 13">
          <a:extLst>
            <a:ext uri="{FF2B5EF4-FFF2-40B4-BE49-F238E27FC236}">
              <a16:creationId xmlns:a16="http://schemas.microsoft.com/office/drawing/2014/main" id="{645FBB2A-3843-433C-9BD3-D4FC98D8884B}"/>
            </a:ext>
          </a:extLst>
        </xdr:cNvPr>
        <xdr:cNvSpPr/>
      </xdr:nvSpPr>
      <xdr:spPr>
        <a:xfrm>
          <a:off x="3988723" y="80357"/>
          <a:ext cx="4071060" cy="964602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선택하여 입력</a:t>
          </a:r>
          <a:endParaRPr lang="en-US" altLang="ko-KR" sz="1100" b="1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149755</xdr:colOff>
      <xdr:row>19</xdr:row>
      <xdr:rowOff>185214</xdr:rowOff>
    </xdr:from>
    <xdr:to>
      <xdr:col>3</xdr:col>
      <xdr:colOff>888449</xdr:colOff>
      <xdr:row>21</xdr:row>
      <xdr:rowOff>170108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B8D2BD-7C27-400D-8013-19B8611B7674}"/>
            </a:ext>
          </a:extLst>
        </xdr:cNvPr>
        <xdr:cNvSpPr txBox="1"/>
      </xdr:nvSpPr>
      <xdr:spPr>
        <a:xfrm>
          <a:off x="1247035" y="4612434"/>
          <a:ext cx="2095054" cy="426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3</xdr:col>
      <xdr:colOff>24227</xdr:colOff>
      <xdr:row>4</xdr:row>
      <xdr:rowOff>175260</xdr:rowOff>
    </xdr:from>
    <xdr:to>
      <xdr:col>3</xdr:col>
      <xdr:colOff>1347849</xdr:colOff>
      <xdr:row>19</xdr:row>
      <xdr:rowOff>213360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BFA73EC-9B5F-444D-9D67-8CC2B12F63F0}"/>
            </a:ext>
          </a:extLst>
        </xdr:cNvPr>
        <xdr:cNvSpPr/>
      </xdr:nvSpPr>
      <xdr:spPr>
        <a:xfrm>
          <a:off x="2477867" y="1074420"/>
          <a:ext cx="1323622" cy="356616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7620</xdr:colOff>
      <xdr:row>4</xdr:row>
      <xdr:rowOff>186147</xdr:rowOff>
    </xdr:from>
    <xdr:to>
      <xdr:col>3</xdr:col>
      <xdr:colOff>0</xdr:colOff>
      <xdr:row>20</xdr:row>
      <xdr:rowOff>7620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076BF5F-46F9-427A-ADD7-33ECFD90D3DA}"/>
            </a:ext>
          </a:extLst>
        </xdr:cNvPr>
        <xdr:cNvSpPr/>
      </xdr:nvSpPr>
      <xdr:spPr>
        <a:xfrm>
          <a:off x="1104900" y="1085307"/>
          <a:ext cx="1348740" cy="3570513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18908</xdr:colOff>
      <xdr:row>19</xdr:row>
      <xdr:rowOff>191747</xdr:rowOff>
    </xdr:from>
    <xdr:to>
      <xdr:col>4</xdr:col>
      <xdr:colOff>1315729</xdr:colOff>
      <xdr:row>24</xdr:row>
      <xdr:rowOff>170225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D0D64F-8ABE-4BC4-AE95-68972F2EECB3}"/>
            </a:ext>
          </a:extLst>
        </xdr:cNvPr>
        <xdr:cNvSpPr txBox="1"/>
      </xdr:nvSpPr>
      <xdr:spPr>
        <a:xfrm>
          <a:off x="2472548" y="4618967"/>
          <a:ext cx="2645561" cy="1083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00B050"/>
              </a:solidFill>
            </a:rPr>
            <a:t>"</a:t>
          </a:r>
          <a:r>
            <a:rPr lang="ko-KR" altLang="en-US" sz="1400" b="1">
              <a:solidFill>
                <a:srgbClr val="00B050"/>
              </a:solidFill>
            </a:rPr>
            <a:t>프로젝트정보</a:t>
          </a:r>
          <a:r>
            <a:rPr lang="en-US" altLang="ko-KR" sz="1400" b="1">
              <a:solidFill>
                <a:srgbClr val="00B050"/>
              </a:solidFill>
            </a:rPr>
            <a:t>-</a:t>
          </a:r>
          <a:r>
            <a:rPr lang="ko-KR" altLang="en-US" sz="1400" b="1">
              <a:solidFill>
                <a:srgbClr val="00B050"/>
              </a:solidFill>
            </a:rPr>
            <a:t>프로젝트네임</a:t>
          </a:r>
          <a:r>
            <a:rPr lang="en-US" altLang="ko-KR" sz="1400" b="1">
              <a:solidFill>
                <a:srgbClr val="00B050"/>
              </a:solidFill>
            </a:rPr>
            <a:t>' </a:t>
          </a:r>
          <a:r>
            <a:rPr lang="ko-KR" altLang="en-US" sz="1400" b="1">
              <a:solidFill>
                <a:srgbClr val="00B050"/>
              </a:solidFill>
            </a:rPr>
            <a:t>에서 선택입력</a:t>
          </a:r>
        </a:p>
      </xdr:txBody>
    </xdr:sp>
    <xdr:clientData/>
  </xdr:twoCellAnchor>
  <xdr:twoCellAnchor>
    <xdr:from>
      <xdr:col>6</xdr:col>
      <xdr:colOff>309898</xdr:colOff>
      <xdr:row>20</xdr:row>
      <xdr:rowOff>47797</xdr:rowOff>
    </xdr:from>
    <xdr:to>
      <xdr:col>7</xdr:col>
      <xdr:colOff>1393907</xdr:colOff>
      <xdr:row>22</xdr:row>
      <xdr:rowOff>29425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361030-34BE-48B3-B4B7-1CEFF97177DC}"/>
            </a:ext>
          </a:extLst>
        </xdr:cNvPr>
        <xdr:cNvSpPr txBox="1"/>
      </xdr:nvSpPr>
      <xdr:spPr>
        <a:xfrm>
          <a:off x="6692769" y="4763232"/>
          <a:ext cx="2993491" cy="429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수기입력</a:t>
          </a:r>
        </a:p>
      </xdr:txBody>
    </xdr:sp>
    <xdr:clientData/>
  </xdr:twoCellAnchor>
  <xdr:twoCellAnchor>
    <xdr:from>
      <xdr:col>4</xdr:col>
      <xdr:colOff>1531620</xdr:colOff>
      <xdr:row>4</xdr:row>
      <xdr:rowOff>144780</xdr:rowOff>
    </xdr:from>
    <xdr:to>
      <xdr:col>8</xdr:col>
      <xdr:colOff>62753</xdr:colOff>
      <xdr:row>20</xdr:row>
      <xdr:rowOff>35859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A6C157A-ED34-4801-99D2-0F50D81CBD28}"/>
            </a:ext>
          </a:extLst>
        </xdr:cNvPr>
        <xdr:cNvSpPr/>
      </xdr:nvSpPr>
      <xdr:spPr>
        <a:xfrm>
          <a:off x="5332655" y="1059180"/>
          <a:ext cx="4465769" cy="3692114"/>
        </a:xfrm>
        <a:prstGeom prst="rect">
          <a:avLst/>
        </a:prstGeom>
        <a:noFill/>
        <a:ln w="28575">
          <a:solidFill>
            <a:schemeClr val="tx1">
              <a:lumMod val="50000"/>
              <a:lumOff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67916</xdr:colOff>
      <xdr:row>0</xdr:row>
      <xdr:rowOff>121589</xdr:rowOff>
    </xdr:from>
    <xdr:to>
      <xdr:col>7</xdr:col>
      <xdr:colOff>126385</xdr:colOff>
      <xdr:row>4</xdr:row>
      <xdr:rowOff>187031</xdr:rowOff>
    </xdr:to>
    <xdr:sp macro="" textlink="">
      <xdr:nvSpPr>
        <xdr:cNvPr id="9" name="말풍선: 모서리가 둥근 사각형 8">
          <a:extLst>
            <a:ext uri="{FF2B5EF4-FFF2-40B4-BE49-F238E27FC236}">
              <a16:creationId xmlns:a16="http://schemas.microsoft.com/office/drawing/2014/main" id="{9E93900B-8CDE-4FB9-AF8B-7657B8D88057}"/>
            </a:ext>
          </a:extLst>
        </xdr:cNvPr>
        <xdr:cNvSpPr/>
      </xdr:nvSpPr>
      <xdr:spPr>
        <a:xfrm>
          <a:off x="3871290" y="121589"/>
          <a:ext cx="4537704" cy="96659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선택하여 입력</a:t>
          </a:r>
          <a:endParaRPr lang="en-US" altLang="ko-KR" sz="1100" b="1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742209</xdr:colOff>
      <xdr:row>0</xdr:row>
      <xdr:rowOff>65315</xdr:rowOff>
    </xdr:from>
    <xdr:to>
      <xdr:col>10</xdr:col>
      <xdr:colOff>1360714</xdr:colOff>
      <xdr:row>3</xdr:row>
      <xdr:rowOff>183078</xdr:rowOff>
    </xdr:to>
    <xdr:sp macro="" textlink="">
      <xdr:nvSpPr>
        <xdr:cNvPr id="6" name="말풍선: 모서리가 둥근 사각형 5">
          <a:extLst>
            <a:ext uri="{FF2B5EF4-FFF2-40B4-BE49-F238E27FC236}">
              <a16:creationId xmlns:a16="http://schemas.microsoft.com/office/drawing/2014/main" id="{9651F039-62A7-2A52-D97D-2E5BBFEAC668}"/>
            </a:ext>
          </a:extLst>
        </xdr:cNvPr>
        <xdr:cNvSpPr/>
      </xdr:nvSpPr>
      <xdr:spPr>
        <a:xfrm>
          <a:off x="10191009" y="65315"/>
          <a:ext cx="3263734" cy="781792"/>
        </a:xfrm>
        <a:prstGeom prst="wedgeRoundRectCallou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1"/>
            <a:t>몇가지 항목 중 선택</a:t>
          </a:r>
          <a:br>
            <a:rPr lang="en-US" altLang="ko-KR" sz="1200" b="1"/>
          </a:br>
          <a:r>
            <a:rPr lang="en-US" altLang="ko-KR" sz="1200" b="1"/>
            <a:t>(</a:t>
          </a:r>
          <a:r>
            <a:rPr lang="ko-KR" altLang="en-US" sz="1200" b="1"/>
            <a:t>항목은 별도의 리스트가 있음</a:t>
          </a:r>
          <a:r>
            <a:rPr lang="en-US" altLang="ko-KR" sz="1200" b="1"/>
            <a:t>. </a:t>
          </a:r>
          <a:r>
            <a:rPr lang="ko-KR" altLang="en-US" sz="1200" b="1"/>
            <a:t>수정가능</a:t>
          </a:r>
          <a:r>
            <a:rPr lang="en-US" altLang="ko-KR" sz="1200" b="1"/>
            <a:t>]</a:t>
          </a:r>
          <a:endParaRPr lang="ko-KR" altLang="en-US" sz="1200" b="1"/>
        </a:p>
      </xdr:txBody>
    </xdr:sp>
    <xdr:clientData/>
  </xdr:twoCellAnchor>
  <xdr:twoCellAnchor>
    <xdr:from>
      <xdr:col>13</xdr:col>
      <xdr:colOff>2507674</xdr:colOff>
      <xdr:row>0</xdr:row>
      <xdr:rowOff>96981</xdr:rowOff>
    </xdr:from>
    <xdr:to>
      <xdr:col>17</xdr:col>
      <xdr:colOff>554183</xdr:colOff>
      <xdr:row>4</xdr:row>
      <xdr:rowOff>180110</xdr:rowOff>
    </xdr:to>
    <xdr:sp macro="" textlink="">
      <xdr:nvSpPr>
        <xdr:cNvPr id="12" name="말풍선: 모서리가 둥근 사각형 11">
          <a:extLst>
            <a:ext uri="{FF2B5EF4-FFF2-40B4-BE49-F238E27FC236}">
              <a16:creationId xmlns:a16="http://schemas.microsoft.com/office/drawing/2014/main" id="{738F24AB-EA4B-F7AD-0298-57594046754F}"/>
            </a:ext>
          </a:extLst>
        </xdr:cNvPr>
        <xdr:cNvSpPr/>
      </xdr:nvSpPr>
      <xdr:spPr>
        <a:xfrm>
          <a:off x="20241492" y="96981"/>
          <a:ext cx="4627418" cy="997529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네트워크</a:t>
          </a:r>
          <a:r>
            <a:rPr lang="en-US" altLang="ko-KR" sz="1100" b="1" baseline="0"/>
            <a:t>(WIFI)</a:t>
          </a:r>
          <a:r>
            <a:rPr lang="ko-KR" altLang="en-US" sz="1100" b="1" baseline="0"/>
            <a:t> </a:t>
          </a:r>
          <a:r>
            <a:rPr lang="en-US" altLang="ko-KR" sz="1100" b="1" baseline="0"/>
            <a:t>- AP </a:t>
          </a:r>
          <a:r>
            <a:rPr lang="ko-KR" altLang="en-US" sz="1100" b="1" baseline="0"/>
            <a:t>정보입력</a:t>
          </a:r>
          <a:r>
            <a:rPr lang="en-US" altLang="ko-KR" sz="1100" b="1" baseline="0"/>
            <a:t>)</a:t>
          </a:r>
        </a:p>
        <a:p>
          <a:pPr algn="l"/>
          <a:r>
            <a:rPr lang="ko-KR" altLang="en-US" sz="1100" b="1" baseline="0"/>
            <a:t>프로젝트네임</a:t>
          </a:r>
          <a:r>
            <a:rPr lang="en-US" altLang="ko-KR" sz="1100" b="1" baseline="0"/>
            <a:t>+</a:t>
          </a:r>
          <a:r>
            <a:rPr lang="ko-KR" altLang="en-US" sz="1100" b="1" baseline="0"/>
            <a:t>판매업체</a:t>
          </a:r>
          <a:r>
            <a:rPr lang="en-US" altLang="ko-KR" sz="1100" b="1" baseline="0"/>
            <a:t>+</a:t>
          </a:r>
          <a:r>
            <a:rPr lang="ko-KR" altLang="en-US" sz="1100" b="1" baseline="0"/>
            <a:t>설치업체 기준으로 공유기고유번호 기준</a:t>
          </a:r>
          <a:endParaRPr lang="en-US" altLang="ko-KR" sz="1100" b="1" baseline="0"/>
        </a:p>
      </xdr:txBody>
    </xdr:sp>
    <xdr:clientData/>
  </xdr:twoCellAnchor>
  <xdr:twoCellAnchor>
    <xdr:from>
      <xdr:col>18</xdr:col>
      <xdr:colOff>304800</xdr:colOff>
      <xdr:row>13</xdr:row>
      <xdr:rowOff>332511</xdr:rowOff>
    </xdr:from>
    <xdr:to>
      <xdr:col>20</xdr:col>
      <xdr:colOff>1773381</xdr:colOff>
      <xdr:row>19</xdr:row>
      <xdr:rowOff>55418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F96B1E-AD78-92CF-4561-BC0066FDF1B8}"/>
            </a:ext>
          </a:extLst>
        </xdr:cNvPr>
        <xdr:cNvSpPr txBox="1"/>
      </xdr:nvSpPr>
      <xdr:spPr>
        <a:xfrm>
          <a:off x="25284545" y="5043056"/>
          <a:ext cx="3435927" cy="2299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부속장비는 </a:t>
          </a:r>
          <a:r>
            <a:rPr lang="ko-KR" altLang="en-US" sz="1100" baseline="0"/>
            <a:t> 하나의 </a:t>
          </a:r>
          <a:r>
            <a:rPr lang="en-US" altLang="ko-KR" sz="1100" baseline="0"/>
            <a:t>"</a:t>
          </a:r>
          <a:r>
            <a:rPr lang="ko-KR" altLang="en-US" sz="1100" baseline="0"/>
            <a:t>제품고유번호</a:t>
          </a:r>
          <a:r>
            <a:rPr lang="en-US" altLang="ko-KR" sz="1100" baseline="0"/>
            <a:t>" </a:t>
          </a:r>
          <a:r>
            <a:rPr lang="ko-KR" altLang="en-US" sz="1100" baseline="0"/>
            <a:t>에 다수의 부속장비가 들어갈 수 있는 시스템 필요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EX)  COM-MIG-002 </a:t>
          </a:r>
          <a:r>
            <a:rPr lang="ko-KR" altLang="en-US" sz="1100" baseline="0"/>
            <a:t>에  </a:t>
          </a:r>
          <a:endParaRPr lang="en-US" altLang="ko-KR" sz="1100" baseline="0"/>
        </a:p>
        <a:p>
          <a:r>
            <a:rPr lang="en-US" altLang="ko-KR" sz="1100" baseline="0"/>
            <a:t>        -  </a:t>
          </a:r>
          <a:r>
            <a:rPr lang="ko-KR" altLang="en-US" sz="1100" baseline="0"/>
            <a:t>전압검출클램프</a:t>
          </a:r>
          <a:endParaRPr lang="en-US" altLang="ko-KR" sz="1100" baseline="0"/>
        </a:p>
        <a:p>
          <a:r>
            <a:rPr lang="en-US" altLang="ko-KR" sz="1100" baseline="0"/>
            <a:t>        -  600A </a:t>
          </a:r>
          <a:r>
            <a:rPr lang="ko-KR" altLang="en-US" sz="1100" baseline="0"/>
            <a:t>홀센서</a:t>
          </a:r>
          <a:endParaRPr lang="en-US" altLang="ko-KR" sz="1100" baseline="0"/>
        </a:p>
        <a:p>
          <a:r>
            <a:rPr lang="en-US" altLang="ko-KR" sz="1100" baseline="0"/>
            <a:t>        -  </a:t>
          </a:r>
          <a:r>
            <a:rPr lang="ko-KR" altLang="en-US" sz="1100" baseline="0"/>
            <a:t>입력선 </a:t>
          </a:r>
          <a:r>
            <a:rPr lang="en-US" altLang="ko-KR" sz="1100" baseline="0"/>
            <a:t>(1M)</a:t>
          </a:r>
        </a:p>
        <a:p>
          <a:endParaRPr lang="en-US" altLang="ko-KR" sz="1100" baseline="0"/>
        </a:p>
        <a:p>
          <a:r>
            <a:rPr lang="en-US" altLang="ko-KR" sz="1100" baseline="0"/>
            <a:t> </a:t>
          </a:r>
          <a:r>
            <a:rPr lang="ko-KR" altLang="en-US" sz="1100" baseline="0"/>
            <a:t>등의 </a:t>
          </a:r>
          <a:r>
            <a:rPr lang="en-US" altLang="ko-KR" sz="1100" baseline="0"/>
            <a:t>3</a:t>
          </a:r>
          <a:r>
            <a:rPr lang="ko-KR" altLang="en-US" sz="1100" baseline="0"/>
            <a:t>가지 입력이 필요함</a:t>
          </a:r>
          <a:endParaRPr lang="en-US" altLang="ko-KR" sz="1100"/>
        </a:p>
      </xdr:txBody>
    </xdr:sp>
    <xdr:clientData/>
  </xdr:twoCellAnchor>
  <xdr:twoCellAnchor>
    <xdr:from>
      <xdr:col>2</xdr:col>
      <xdr:colOff>117629</xdr:colOff>
      <xdr:row>13</xdr:row>
      <xdr:rowOff>367009</xdr:rowOff>
    </xdr:from>
    <xdr:to>
      <xdr:col>2</xdr:col>
      <xdr:colOff>1004137</xdr:colOff>
      <xdr:row>14</xdr:row>
      <xdr:rowOff>372032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8B037D-E80D-446F-8BD0-BFC14ECB376F}"/>
            </a:ext>
          </a:extLst>
        </xdr:cNvPr>
        <xdr:cNvSpPr txBox="1"/>
      </xdr:nvSpPr>
      <xdr:spPr>
        <a:xfrm>
          <a:off x="1214909" y="5083789"/>
          <a:ext cx="886508" cy="439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solidFill>
                <a:srgbClr val="FF0000"/>
              </a:solidFill>
            </a:rPr>
            <a:t>자동생성</a:t>
          </a:r>
        </a:p>
      </xdr:txBody>
    </xdr:sp>
    <xdr:clientData/>
  </xdr:twoCellAnchor>
  <xdr:twoCellAnchor>
    <xdr:from>
      <xdr:col>2</xdr:col>
      <xdr:colOff>1</xdr:colOff>
      <xdr:row>5</xdr:row>
      <xdr:rowOff>0</xdr:rowOff>
    </xdr:from>
    <xdr:to>
      <xdr:col>2</xdr:col>
      <xdr:colOff>960120</xdr:colOff>
      <xdr:row>14</xdr:row>
      <xdr:rowOff>15240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4BBD1F7-F475-4FEF-903C-906E1A569945}"/>
            </a:ext>
          </a:extLst>
        </xdr:cNvPr>
        <xdr:cNvSpPr/>
      </xdr:nvSpPr>
      <xdr:spPr>
        <a:xfrm>
          <a:off x="1097281" y="1127760"/>
          <a:ext cx="960119" cy="4038600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39188</xdr:colOff>
      <xdr:row>4</xdr:row>
      <xdr:rowOff>127363</xdr:rowOff>
    </xdr:from>
    <xdr:to>
      <xdr:col>4</xdr:col>
      <xdr:colOff>1448888</xdr:colOff>
      <xdr:row>13</xdr:row>
      <xdr:rowOff>402772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34B096F-A8ED-4CEA-B9E6-990D1F67B18A}"/>
            </a:ext>
          </a:extLst>
        </xdr:cNvPr>
        <xdr:cNvSpPr/>
      </xdr:nvSpPr>
      <xdr:spPr>
        <a:xfrm>
          <a:off x="3936274" y="1019992"/>
          <a:ext cx="1409700" cy="4096294"/>
        </a:xfrm>
        <a:prstGeom prst="rect">
          <a:avLst/>
        </a:prstGeom>
        <a:noFill/>
        <a:ln w="28575">
          <a:solidFill>
            <a:schemeClr val="tx1">
              <a:lumMod val="65000"/>
              <a:lumOff val="3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39186</xdr:colOff>
      <xdr:row>4</xdr:row>
      <xdr:rowOff>163285</xdr:rowOff>
    </xdr:from>
    <xdr:to>
      <xdr:col>13</xdr:col>
      <xdr:colOff>3396342</xdr:colOff>
      <xdr:row>14</xdr:row>
      <xdr:rowOff>33745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5C6714AA-4C5F-0DA0-5B63-92D79C3ABCEE}"/>
            </a:ext>
          </a:extLst>
        </xdr:cNvPr>
        <xdr:cNvSpPr/>
      </xdr:nvSpPr>
      <xdr:spPr>
        <a:xfrm>
          <a:off x="12133215" y="1055914"/>
          <a:ext cx="9017727" cy="4126774"/>
        </a:xfrm>
        <a:prstGeom prst="rect">
          <a:avLst/>
        </a:prstGeom>
        <a:noFill/>
        <a:ln w="28575">
          <a:solidFill>
            <a:schemeClr val="tx1">
              <a:lumMod val="50000"/>
              <a:lumOff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60960</xdr:colOff>
      <xdr:row>4</xdr:row>
      <xdr:rowOff>152400</xdr:rowOff>
    </xdr:from>
    <xdr:to>
      <xdr:col>3</xdr:col>
      <xdr:colOff>1775460</xdr:colOff>
      <xdr:row>14</xdr:row>
      <xdr:rowOff>22860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7B768EA-4CAA-4FFB-A0E2-9484AF3F4527}"/>
            </a:ext>
          </a:extLst>
        </xdr:cNvPr>
        <xdr:cNvSpPr/>
      </xdr:nvSpPr>
      <xdr:spPr>
        <a:xfrm>
          <a:off x="4665617" y="1045029"/>
          <a:ext cx="1714500" cy="4126774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1426028</xdr:colOff>
      <xdr:row>0</xdr:row>
      <xdr:rowOff>65314</xdr:rowOff>
    </xdr:from>
    <xdr:to>
      <xdr:col>6</xdr:col>
      <xdr:colOff>1992086</xdr:colOff>
      <xdr:row>4</xdr:row>
      <xdr:rowOff>139275</xdr:rowOff>
    </xdr:to>
    <xdr:sp macro="" textlink="">
      <xdr:nvSpPr>
        <xdr:cNvPr id="21" name="말풍선: 모서리가 둥근 사각형 20">
          <a:extLst>
            <a:ext uri="{FF2B5EF4-FFF2-40B4-BE49-F238E27FC236}">
              <a16:creationId xmlns:a16="http://schemas.microsoft.com/office/drawing/2014/main" id="{EA906E12-37EF-4186-BE15-39B903A14225}"/>
            </a:ext>
          </a:extLst>
        </xdr:cNvPr>
        <xdr:cNvSpPr/>
      </xdr:nvSpPr>
      <xdr:spPr>
        <a:xfrm>
          <a:off x="5323114" y="65314"/>
          <a:ext cx="4093029" cy="96659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판매업체</a:t>
          </a:r>
          <a:r>
            <a:rPr lang="en-US" altLang="ko-KR" sz="1100" b="1" baseline="0"/>
            <a:t>/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선택하여 입력</a:t>
          </a:r>
          <a:endParaRPr lang="en-US" altLang="ko-KR" sz="1100" b="1" baseline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418966</xdr:colOff>
      <xdr:row>25</xdr:row>
      <xdr:rowOff>214338</xdr:rowOff>
    </xdr:from>
    <xdr:to>
      <xdr:col>8</xdr:col>
      <xdr:colOff>942453</xdr:colOff>
      <xdr:row>36</xdr:row>
      <xdr:rowOff>138202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2AE3A1-E09F-42F2-9C3A-4B13CA02E842}"/>
            </a:ext>
          </a:extLst>
        </xdr:cNvPr>
        <xdr:cNvSpPr txBox="1"/>
      </xdr:nvSpPr>
      <xdr:spPr>
        <a:xfrm>
          <a:off x="1521625" y="6704785"/>
          <a:ext cx="9039957" cy="23891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="1" baseline="0">
              <a:solidFill>
                <a:srgbClr val="FF0000"/>
              </a:solidFill>
            </a:rPr>
            <a:t>빨간색</a:t>
          </a:r>
          <a:r>
            <a:rPr lang="ko-KR" altLang="en-US" sz="1100" baseline="0"/>
            <a:t> 은 데이터 기준점 및 자동생성</a:t>
          </a:r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="1" baseline="0"/>
            <a:t>흑색</a:t>
          </a:r>
          <a:r>
            <a:rPr lang="ko-KR" altLang="en-US" sz="1100" baseline="0"/>
            <a:t>은 정보에 수기입력 항목</a:t>
          </a:r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="1" baseline="0">
              <a:solidFill>
                <a:srgbClr val="00B050"/>
              </a:solidFill>
            </a:rPr>
            <a:t>녹색</a:t>
          </a:r>
          <a:r>
            <a:rPr lang="ko-KR" altLang="en-US" sz="1100" baseline="0"/>
            <a:t>은 선택시 타 관리항목의 리스트의 팝업과  그 중에 선택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ko-KR" altLang="en-US" sz="1100" b="1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청색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프로젝트네임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기준에 따라 자동입력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프로젝트고유번호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aseline="0"/>
            <a:t>5. </a:t>
          </a:r>
          <a:r>
            <a:rPr lang="ko-KR" altLang="en-US" sz="1100" b="1" baseline="0">
              <a:solidFill>
                <a:srgbClr val="7030A0"/>
              </a:solidFill>
            </a:rPr>
            <a:t>보라색</a:t>
          </a:r>
          <a:r>
            <a:rPr lang="ko-KR" altLang="en-US" sz="1100" baseline="0"/>
            <a:t>은 별도의 리스트 중 선택</a:t>
          </a:r>
          <a:endParaRPr lang="en-US" altLang="ko-KR" sz="1100" baseline="0"/>
        </a:p>
      </xdr:txBody>
    </xdr:sp>
    <xdr:clientData/>
  </xdr:twoCellAnchor>
  <xdr:twoCellAnchor>
    <xdr:from>
      <xdr:col>3</xdr:col>
      <xdr:colOff>72716</xdr:colOff>
      <xdr:row>4</xdr:row>
      <xdr:rowOff>128766</xdr:rowOff>
    </xdr:from>
    <xdr:to>
      <xdr:col>3</xdr:col>
      <xdr:colOff>1284513</xdr:colOff>
      <xdr:row>26</xdr:row>
      <xdr:rowOff>152806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EC6FB00-F601-4BB2-BEE1-0C0FCDA4B206}"/>
            </a:ext>
          </a:extLst>
        </xdr:cNvPr>
        <xdr:cNvSpPr/>
      </xdr:nvSpPr>
      <xdr:spPr>
        <a:xfrm>
          <a:off x="2403540" y="1043166"/>
          <a:ext cx="1211797" cy="718684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101173</xdr:colOff>
      <xdr:row>4</xdr:row>
      <xdr:rowOff>130689</xdr:rowOff>
    </xdr:from>
    <xdr:to>
      <xdr:col>2</xdr:col>
      <xdr:colOff>1167973</xdr:colOff>
      <xdr:row>26</xdr:row>
      <xdr:rowOff>152808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4C5FD47-9671-4567-9FE0-338EC704876C}"/>
            </a:ext>
          </a:extLst>
        </xdr:cNvPr>
        <xdr:cNvSpPr/>
      </xdr:nvSpPr>
      <xdr:spPr>
        <a:xfrm>
          <a:off x="1203832" y="1045089"/>
          <a:ext cx="1066800" cy="7184919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1564342</xdr:colOff>
      <xdr:row>0</xdr:row>
      <xdr:rowOff>60832</xdr:rowOff>
    </xdr:from>
    <xdr:to>
      <xdr:col>11</xdr:col>
      <xdr:colOff>777369</xdr:colOff>
      <xdr:row>2</xdr:row>
      <xdr:rowOff>78762</xdr:rowOff>
    </xdr:to>
    <xdr:sp macro="" textlink="">
      <xdr:nvSpPr>
        <xdr:cNvPr id="7" name="설명선: 굽은 선 6">
          <a:extLst>
            <a:ext uri="{FF2B5EF4-FFF2-40B4-BE49-F238E27FC236}">
              <a16:creationId xmlns:a16="http://schemas.microsoft.com/office/drawing/2014/main" id="{7F3B6AEF-6D5B-7C7F-7A8E-4C7EC1D73433}"/>
            </a:ext>
          </a:extLst>
        </xdr:cNvPr>
        <xdr:cNvSpPr/>
      </xdr:nvSpPr>
      <xdr:spPr>
        <a:xfrm>
          <a:off x="12156142" y="60832"/>
          <a:ext cx="1858256" cy="453359"/>
        </a:xfrm>
        <a:prstGeom prst="borderCallout2">
          <a:avLst>
            <a:gd name="adj1" fmla="val 54799"/>
            <a:gd name="adj2" fmla="val 98499"/>
            <a:gd name="adj3" fmla="val 84591"/>
            <a:gd name="adj4" fmla="val 115608"/>
            <a:gd name="adj5" fmla="val 222279"/>
            <a:gd name="adj6" fmla="val 123556"/>
          </a:avLst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/>
            <a:t>계산식구성</a:t>
          </a:r>
        </a:p>
      </xdr:txBody>
    </xdr:sp>
    <xdr:clientData/>
  </xdr:twoCellAnchor>
  <xdr:twoCellAnchor>
    <xdr:from>
      <xdr:col>20</xdr:col>
      <xdr:colOff>720436</xdr:colOff>
      <xdr:row>0</xdr:row>
      <xdr:rowOff>166255</xdr:rowOff>
    </xdr:from>
    <xdr:to>
      <xdr:col>21</xdr:col>
      <xdr:colOff>1108364</xdr:colOff>
      <xdr:row>2</xdr:row>
      <xdr:rowOff>184186</xdr:rowOff>
    </xdr:to>
    <xdr:sp macro="" textlink="">
      <xdr:nvSpPr>
        <xdr:cNvPr id="8" name="설명선: 굽은 선 7">
          <a:extLst>
            <a:ext uri="{FF2B5EF4-FFF2-40B4-BE49-F238E27FC236}">
              <a16:creationId xmlns:a16="http://schemas.microsoft.com/office/drawing/2014/main" id="{6D791B68-8038-4A73-8C3B-C68D668DFB8B}"/>
            </a:ext>
          </a:extLst>
        </xdr:cNvPr>
        <xdr:cNvSpPr/>
      </xdr:nvSpPr>
      <xdr:spPr>
        <a:xfrm>
          <a:off x="24799636" y="166255"/>
          <a:ext cx="1427019" cy="461276"/>
        </a:xfrm>
        <a:prstGeom prst="borderCallout2">
          <a:avLst>
            <a:gd name="adj1" fmla="val 47596"/>
            <a:gd name="adj2" fmla="val -502"/>
            <a:gd name="adj3" fmla="val 62981"/>
            <a:gd name="adj4" fmla="val -20884"/>
            <a:gd name="adj5" fmla="val 227049"/>
            <a:gd name="adj6" fmla="val -60630"/>
          </a:avLst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/>
            <a:t>계산식구성</a:t>
          </a:r>
        </a:p>
      </xdr:txBody>
    </xdr:sp>
    <xdr:clientData/>
  </xdr:twoCellAnchor>
  <xdr:twoCellAnchor>
    <xdr:from>
      <xdr:col>22</xdr:col>
      <xdr:colOff>479962</xdr:colOff>
      <xdr:row>0</xdr:row>
      <xdr:rowOff>167245</xdr:rowOff>
    </xdr:from>
    <xdr:to>
      <xdr:col>24</xdr:col>
      <xdr:colOff>368560</xdr:colOff>
      <xdr:row>4</xdr:row>
      <xdr:rowOff>34241</xdr:rowOff>
    </xdr:to>
    <xdr:sp macro="" textlink="">
      <xdr:nvSpPr>
        <xdr:cNvPr id="9" name="말풍선: 모서리가 둥근 사각형 8">
          <a:extLst>
            <a:ext uri="{FF2B5EF4-FFF2-40B4-BE49-F238E27FC236}">
              <a16:creationId xmlns:a16="http://schemas.microsoft.com/office/drawing/2014/main" id="{3AFA15A4-F48F-1C0B-0BD1-6B448B72B49A}"/>
            </a:ext>
          </a:extLst>
        </xdr:cNvPr>
        <xdr:cNvSpPr/>
      </xdr:nvSpPr>
      <xdr:spPr>
        <a:xfrm>
          <a:off x="26900580" y="167245"/>
          <a:ext cx="2493253" cy="781396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</xdr:txBody>
    </xdr:sp>
    <xdr:clientData/>
  </xdr:twoCellAnchor>
  <xdr:twoCellAnchor>
    <xdr:from>
      <xdr:col>15</xdr:col>
      <xdr:colOff>355270</xdr:colOff>
      <xdr:row>0</xdr:row>
      <xdr:rowOff>0</xdr:rowOff>
    </xdr:from>
    <xdr:to>
      <xdr:col>17</xdr:col>
      <xdr:colOff>598714</xdr:colOff>
      <xdr:row>3</xdr:row>
      <xdr:rowOff>102523</xdr:rowOff>
    </xdr:to>
    <xdr:sp macro="" textlink="">
      <xdr:nvSpPr>
        <xdr:cNvPr id="10" name="말풍선: 모서리가 둥근 사각형 9">
          <a:extLst>
            <a:ext uri="{FF2B5EF4-FFF2-40B4-BE49-F238E27FC236}">
              <a16:creationId xmlns:a16="http://schemas.microsoft.com/office/drawing/2014/main" id="{6149553F-0AFC-4E0B-B3E5-BB48B1D7FC41}"/>
            </a:ext>
          </a:extLst>
        </xdr:cNvPr>
        <xdr:cNvSpPr/>
      </xdr:nvSpPr>
      <xdr:spPr>
        <a:xfrm>
          <a:off x="18305813" y="0"/>
          <a:ext cx="2845130" cy="766552"/>
        </a:xfrm>
        <a:prstGeom prst="wedgeRoundRectCallout">
          <a:avLst>
            <a:gd name="adj1" fmla="val -81402"/>
            <a:gd name="adj2" fmla="val 11569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 및 용접종류</a:t>
          </a:r>
          <a:r>
            <a:rPr lang="en-US" altLang="ko-KR" sz="1100" b="1"/>
            <a:t>, </a:t>
          </a:r>
          <a:r>
            <a:rPr lang="ko-KR" altLang="en-US" sz="1100" b="1"/>
            <a:t>판매수량이 입력되면  제품명 자동입력</a:t>
          </a:r>
          <a:endParaRPr lang="en-US" altLang="ko-KR" sz="1100" b="1"/>
        </a:p>
      </xdr:txBody>
    </xdr:sp>
    <xdr:clientData/>
  </xdr:twoCellAnchor>
  <xdr:twoCellAnchor>
    <xdr:from>
      <xdr:col>11</xdr:col>
      <xdr:colOff>1017795</xdr:colOff>
      <xdr:row>4</xdr:row>
      <xdr:rowOff>185057</xdr:rowOff>
    </xdr:from>
    <xdr:to>
      <xdr:col>13</xdr:col>
      <xdr:colOff>21771</xdr:colOff>
      <xdr:row>25</xdr:row>
      <xdr:rowOff>185058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6D4C5F6-DE9F-653D-79C7-538CA3E34344}"/>
            </a:ext>
          </a:extLst>
        </xdr:cNvPr>
        <xdr:cNvSpPr/>
      </xdr:nvSpPr>
      <xdr:spPr>
        <a:xfrm>
          <a:off x="14267630" y="1099457"/>
          <a:ext cx="1083788" cy="6938683"/>
        </a:xfrm>
        <a:prstGeom prst="rect">
          <a:avLst/>
        </a:prstGeom>
        <a:noFill/>
        <a:ln w="28575">
          <a:solidFill>
            <a:schemeClr val="accent2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609600</xdr:colOff>
      <xdr:row>0</xdr:row>
      <xdr:rowOff>0</xdr:rowOff>
    </xdr:from>
    <xdr:to>
      <xdr:col>14</xdr:col>
      <xdr:colOff>2394857</xdr:colOff>
      <xdr:row>3</xdr:row>
      <xdr:rowOff>102523</xdr:rowOff>
    </xdr:to>
    <xdr:sp macro="" textlink="">
      <xdr:nvSpPr>
        <xdr:cNvPr id="13" name="말풍선: 모서리가 둥근 사각형 12">
          <a:extLst>
            <a:ext uri="{FF2B5EF4-FFF2-40B4-BE49-F238E27FC236}">
              <a16:creationId xmlns:a16="http://schemas.microsoft.com/office/drawing/2014/main" id="{D447C9C4-E5C3-7E52-9E93-9F68AD75BF8E}"/>
            </a:ext>
          </a:extLst>
        </xdr:cNvPr>
        <xdr:cNvSpPr/>
      </xdr:nvSpPr>
      <xdr:spPr>
        <a:xfrm>
          <a:off x="15914914" y="0"/>
          <a:ext cx="3450772" cy="766552"/>
        </a:xfrm>
        <a:prstGeom prst="wedgeRoundRectCallout">
          <a:avLst>
            <a:gd name="adj1" fmla="val -39765"/>
            <a:gd name="adj2" fmla="val 10433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 및 용접종류</a:t>
          </a:r>
          <a:r>
            <a:rPr lang="en-US" altLang="ko-KR" sz="1100" b="1"/>
            <a:t>, </a:t>
          </a:r>
          <a:r>
            <a:rPr lang="ko-KR" altLang="en-US" sz="1100" b="1"/>
            <a:t>판매수량이 입력되면  제품정보 설치일 중 가장 최근 정보일 입력</a:t>
          </a:r>
          <a:endParaRPr lang="en-US" altLang="ko-KR" sz="1100" b="1"/>
        </a:p>
      </xdr:txBody>
    </xdr:sp>
    <xdr:clientData/>
  </xdr:twoCellAnchor>
  <xdr:twoCellAnchor>
    <xdr:from>
      <xdr:col>22</xdr:col>
      <xdr:colOff>1149532</xdr:colOff>
      <xdr:row>31</xdr:row>
      <xdr:rowOff>206826</xdr:rowOff>
    </xdr:from>
    <xdr:to>
      <xdr:col>26</xdr:col>
      <xdr:colOff>1332412</xdr:colOff>
      <xdr:row>36</xdr:row>
      <xdr:rowOff>163284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3EE853-A0A4-14AD-7DAB-3F0E3452198C}"/>
            </a:ext>
          </a:extLst>
        </xdr:cNvPr>
        <xdr:cNvSpPr txBox="1"/>
      </xdr:nvSpPr>
      <xdr:spPr>
        <a:xfrm>
          <a:off x="29404492" y="7887786"/>
          <a:ext cx="4145280" cy="10232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사용 종료일 알림조건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1.  </a:t>
          </a:r>
          <a:r>
            <a:rPr lang="ko-KR" altLang="en-US" sz="1100"/>
            <a:t>담당자 메일</a:t>
          </a:r>
          <a:r>
            <a:rPr lang="en-US" altLang="ko-KR" sz="1100" baseline="0"/>
            <a:t> </a:t>
          </a:r>
          <a:r>
            <a:rPr lang="ko-KR" altLang="en-US" sz="1100" baseline="0"/>
            <a:t>또는 핸드폰 메세지</a:t>
          </a:r>
          <a:r>
            <a:rPr lang="en-US" altLang="ko-KR" sz="1100" baseline="0"/>
            <a:t>(</a:t>
          </a:r>
          <a:r>
            <a:rPr lang="ko-KR" altLang="en-US" sz="1100" baseline="0"/>
            <a:t>카톡</a:t>
          </a:r>
          <a:r>
            <a:rPr lang="en-US" altLang="ko-KR" sz="1100" baseline="0"/>
            <a:t>)</a:t>
          </a:r>
        </a:p>
        <a:p>
          <a:r>
            <a:rPr lang="en-US" altLang="ko-KR" sz="1100" baseline="0"/>
            <a:t>2.  </a:t>
          </a:r>
          <a:r>
            <a:rPr lang="ko-KR" altLang="en-US" sz="1100" baseline="0"/>
            <a:t>알람일 </a:t>
          </a:r>
          <a:r>
            <a:rPr lang="en-US" altLang="ko-KR" sz="1100" baseline="0"/>
            <a:t>( 60</a:t>
          </a:r>
          <a:r>
            <a:rPr lang="ko-KR" altLang="en-US" sz="1100" baseline="0"/>
            <a:t>일</a:t>
          </a:r>
          <a:r>
            <a:rPr lang="en-US" altLang="ko-KR" sz="1100" baseline="0"/>
            <a:t>, 30</a:t>
          </a:r>
          <a:r>
            <a:rPr lang="ko-KR" altLang="en-US" sz="1100" baseline="0"/>
            <a:t>일</a:t>
          </a:r>
          <a:r>
            <a:rPr lang="en-US" altLang="ko-KR" sz="1100" baseline="0"/>
            <a:t>, 15</a:t>
          </a:r>
          <a:r>
            <a:rPr lang="ko-KR" altLang="en-US" sz="1100" baseline="0"/>
            <a:t>일</a:t>
          </a:r>
          <a:r>
            <a:rPr lang="en-US" altLang="ko-KR" sz="1100" baseline="0"/>
            <a:t>, 5</a:t>
          </a:r>
          <a:r>
            <a:rPr lang="ko-KR" altLang="en-US" sz="1100" baseline="0"/>
            <a:t>일</a:t>
          </a:r>
          <a:r>
            <a:rPr lang="en-US" altLang="ko-KR" sz="1100" baseline="0"/>
            <a:t>, 1</a:t>
          </a:r>
          <a:r>
            <a:rPr lang="ko-KR" altLang="en-US" sz="1100" baseline="0"/>
            <a:t>일 </a:t>
          </a:r>
          <a:r>
            <a:rPr lang="en-US" altLang="ko-KR" sz="1100" baseline="0"/>
            <a:t>)</a:t>
          </a:r>
          <a:endParaRPr lang="en-US" altLang="ko-KR" sz="1100"/>
        </a:p>
      </xdr:txBody>
    </xdr:sp>
    <xdr:clientData/>
  </xdr:twoCellAnchor>
  <xdr:twoCellAnchor>
    <xdr:from>
      <xdr:col>22</xdr:col>
      <xdr:colOff>1310245</xdr:colOff>
      <xdr:row>23</xdr:row>
      <xdr:rowOff>73639</xdr:rowOff>
    </xdr:from>
    <xdr:to>
      <xdr:col>26</xdr:col>
      <xdr:colOff>644238</xdr:colOff>
      <xdr:row>26</xdr:row>
      <xdr:rowOff>70507</xdr:rowOff>
    </xdr:to>
    <xdr:sp macro="" textlink="">
      <xdr:nvSpPr>
        <xdr:cNvPr id="16" name="말풍선: 모서리가 둥근 사각형 15">
          <a:extLst>
            <a:ext uri="{FF2B5EF4-FFF2-40B4-BE49-F238E27FC236}">
              <a16:creationId xmlns:a16="http://schemas.microsoft.com/office/drawing/2014/main" id="{36C18FBA-2561-B6F7-F744-D533C01DD561}"/>
            </a:ext>
          </a:extLst>
        </xdr:cNvPr>
        <xdr:cNvSpPr/>
      </xdr:nvSpPr>
      <xdr:spPr>
        <a:xfrm>
          <a:off x="29540104" y="7361945"/>
          <a:ext cx="3296393" cy="785762"/>
        </a:xfrm>
        <a:prstGeom prst="wedgeRoundRectCallout">
          <a:avLst>
            <a:gd name="adj1" fmla="val -97249"/>
            <a:gd name="adj2" fmla="val -80198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입력된 사용 종료일 기준으로  </a:t>
          </a:r>
          <a:r>
            <a:rPr lang="en-US" altLang="ko-KR" sz="1100" b="1"/>
            <a:t>5</a:t>
          </a:r>
          <a:r>
            <a:rPr lang="ko-KR" altLang="en-US" sz="1100" b="1"/>
            <a:t>번 정도 관리자에게 자동통보  후 최종 통보된 날짜를 표시 </a:t>
          </a:r>
          <a:endParaRPr lang="en-US" altLang="ko-KR" sz="1100" b="1"/>
        </a:p>
      </xdr:txBody>
    </xdr:sp>
    <xdr:clientData/>
  </xdr:twoCellAnchor>
  <xdr:twoCellAnchor>
    <xdr:from>
      <xdr:col>4</xdr:col>
      <xdr:colOff>1314450</xdr:colOff>
      <xdr:row>0</xdr:row>
      <xdr:rowOff>57150</xdr:rowOff>
    </xdr:from>
    <xdr:to>
      <xdr:col>7</xdr:col>
      <xdr:colOff>794658</xdr:colOff>
      <xdr:row>4</xdr:row>
      <xdr:rowOff>131111</xdr:rowOff>
    </xdr:to>
    <xdr:sp macro="" textlink="">
      <xdr:nvSpPr>
        <xdr:cNvPr id="17" name="말풍선: 모서리가 둥근 사각형 16">
          <a:extLst>
            <a:ext uri="{FF2B5EF4-FFF2-40B4-BE49-F238E27FC236}">
              <a16:creationId xmlns:a16="http://schemas.microsoft.com/office/drawing/2014/main" id="{2E5ABF50-FA73-4271-B16D-C3269944C2C9}"/>
            </a:ext>
          </a:extLst>
        </xdr:cNvPr>
        <xdr:cNvSpPr/>
      </xdr:nvSpPr>
      <xdr:spPr>
        <a:xfrm>
          <a:off x="4991100" y="57150"/>
          <a:ext cx="4090308" cy="988361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판매업체</a:t>
          </a:r>
          <a:r>
            <a:rPr lang="en-US" altLang="ko-KR" sz="1100" b="1" baseline="0"/>
            <a:t>/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선택하여 입력</a:t>
          </a:r>
          <a:endParaRPr lang="en-US" altLang="ko-KR" sz="1100" b="1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2837906</xdr:colOff>
      <xdr:row>43</xdr:row>
      <xdr:rowOff>88175</xdr:rowOff>
    </xdr:from>
    <xdr:to>
      <xdr:col>14</xdr:col>
      <xdr:colOff>442356</xdr:colOff>
      <xdr:row>54</xdr:row>
      <xdr:rowOff>58386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FE248-7107-B617-E8A2-450AC0480BD3}"/>
            </a:ext>
          </a:extLst>
        </xdr:cNvPr>
        <xdr:cNvSpPr txBox="1"/>
      </xdr:nvSpPr>
      <xdr:spPr>
        <a:xfrm>
          <a:off x="11045735" y="10211889"/>
          <a:ext cx="8762307" cy="23759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 </a:t>
          </a:r>
          <a:r>
            <a:rPr lang="ko-KR" altLang="en-US" sz="1100" baseline="0"/>
            <a:t>판매업체 선택   →    관련된 프로젝트 리스트 </a:t>
          </a:r>
          <a:r>
            <a:rPr lang="en-US" altLang="ko-KR" sz="1100" baseline="0"/>
            <a:t> </a:t>
          </a:r>
          <a:r>
            <a:rPr lang="ko-KR" altLang="en-US" sz="1100" baseline="0"/>
            <a:t>나옴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/>
            <a:t>  </a:t>
          </a:r>
          <a:r>
            <a:rPr lang="ko-KR" altLang="en-US" sz="1100" baseline="0"/>
            <a:t>프로젝트네임선택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거래고유번호 리스트나옴  →   거래고유번호 리스트 선택  →  거래고유번호까지 자동입력</a:t>
          </a:r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2.  </a:t>
          </a:r>
          <a:r>
            <a:rPr lang="ko-KR" altLang="en-US" sz="1100" baseline="0"/>
            <a:t>세금계산서 종류 선택 </a:t>
          </a:r>
          <a:r>
            <a:rPr lang="en-US" altLang="ko-KR" sz="1100" baseline="0"/>
            <a:t>( HW/SW )   </a:t>
          </a:r>
          <a:r>
            <a:rPr lang="ko-KR" altLang="en-US" sz="1100" baseline="0"/>
            <a:t>→  세금계산서 내용   →  세금계산서발행일 </a:t>
          </a:r>
          <a:endParaRPr lang="en-US" altLang="ko-KR" sz="1100" baseline="0"/>
        </a:p>
        <a:p>
          <a:r>
            <a:rPr lang="en-US" altLang="ko-KR" sz="1100" baseline="0"/>
            <a:t>     -   </a:t>
          </a:r>
          <a:r>
            <a:rPr lang="ko-KR" altLang="en-US" sz="1100" baseline="0"/>
            <a:t>세금계산서 종류 </a:t>
          </a:r>
          <a:r>
            <a:rPr lang="en-US" altLang="ko-KR" sz="1100" baseline="0"/>
            <a:t>'HW </a:t>
          </a:r>
          <a:r>
            <a:rPr lang="ko-KR" altLang="en-US" sz="1100" baseline="0"/>
            <a:t>납품</a:t>
          </a:r>
          <a:r>
            <a:rPr lang="en-US" altLang="ko-KR" sz="1100" baseline="0"/>
            <a:t>(</a:t>
          </a:r>
          <a:r>
            <a:rPr lang="ko-KR" altLang="en-US" sz="1100" baseline="0"/>
            <a:t>일회성</a:t>
          </a:r>
          <a:r>
            <a:rPr lang="en-US" altLang="ko-KR" sz="1100" baseline="0"/>
            <a:t>)' </a:t>
          </a:r>
          <a:r>
            <a:rPr lang="ko-KR" altLang="en-US" sz="1100" baseline="0"/>
            <a:t>선택시    </a:t>
          </a:r>
          <a:r>
            <a:rPr lang="en-US" altLang="ko-KR" sz="1100" baseline="0"/>
            <a:t>=     </a:t>
          </a:r>
          <a:r>
            <a:rPr lang="ko-KR" altLang="en-US" sz="1100" baseline="0"/>
            <a:t>계산서발행금액 </a:t>
          </a:r>
          <a:r>
            <a:rPr lang="en-US" altLang="ko-KR" sz="1100" baseline="0"/>
            <a:t>/ </a:t>
          </a:r>
          <a:r>
            <a:rPr lang="ko-KR" altLang="en-US" sz="1100" baseline="0"/>
            <a:t>계산서 승인번호 </a:t>
          </a:r>
          <a:r>
            <a:rPr lang="en-US" altLang="ko-KR" sz="1100" baseline="0"/>
            <a:t>/ </a:t>
          </a:r>
          <a:r>
            <a:rPr lang="ko-KR" altLang="en-US" sz="1100" baseline="0"/>
            <a:t>입금완료일   </a:t>
          </a:r>
          <a:r>
            <a:rPr lang="en-US" altLang="ko-KR" sz="1100" baseline="0"/>
            <a:t>3</a:t>
          </a:r>
          <a:r>
            <a:rPr lang="ko-KR" altLang="en-US" sz="1100" baseline="0"/>
            <a:t>개만 활성화 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 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세금계산서 종류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'SW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구독료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선택시   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 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사용료 시작일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종료일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/SW/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단가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수량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차기계산발행최근알람일은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거래고유번호 기준 소프트웨어 사양에서 자동입력 및 자동계산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+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계산서발행금액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계산서 승인번호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입금완료일   활성화 </a:t>
          </a:r>
          <a:endParaRPr lang="ko-KR" altLang="ko-KR">
            <a:effectLst/>
          </a:endParaRPr>
        </a:p>
        <a:p>
          <a:r>
            <a:rPr lang="en-US" altLang="ko-KR" sz="1100" baseline="0"/>
            <a:t>                          *** </a:t>
          </a:r>
          <a:r>
            <a:rPr lang="ko-KR" altLang="en-US" sz="1100" baseline="0"/>
            <a:t>입금완료일은  나중에 입력 가능하도록 </a:t>
          </a:r>
          <a:r>
            <a:rPr lang="en-US" altLang="ko-KR" sz="1100" baseline="0"/>
            <a:t>***</a:t>
          </a:r>
        </a:p>
        <a:p>
          <a:r>
            <a:rPr lang="en-US" altLang="ko-KR" sz="1100" baseline="0"/>
            <a:t>             </a:t>
          </a:r>
        </a:p>
      </xdr:txBody>
    </xdr:sp>
    <xdr:clientData/>
  </xdr:twoCellAnchor>
  <xdr:twoCellAnchor>
    <xdr:from>
      <xdr:col>4</xdr:col>
      <xdr:colOff>153680</xdr:colOff>
      <xdr:row>0</xdr:row>
      <xdr:rowOff>65315</xdr:rowOff>
    </xdr:from>
    <xdr:to>
      <xdr:col>6</xdr:col>
      <xdr:colOff>1272988</xdr:colOff>
      <xdr:row>4</xdr:row>
      <xdr:rowOff>161047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88DC2D0F-AAF9-4FAC-9EBF-D42A44FAEBDF}"/>
            </a:ext>
          </a:extLst>
        </xdr:cNvPr>
        <xdr:cNvSpPr/>
      </xdr:nvSpPr>
      <xdr:spPr>
        <a:xfrm>
          <a:off x="3954715" y="65315"/>
          <a:ext cx="3844579" cy="1010132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프로젝트네임을 선택하면 자동입력</a:t>
          </a:r>
          <a:endParaRPr lang="en-US" altLang="ko-KR" sz="1100" b="1"/>
        </a:p>
        <a:p>
          <a:pPr algn="l"/>
          <a:r>
            <a:rPr lang="en-US" altLang="ko-KR" sz="1100" b="1"/>
            <a:t>[</a:t>
          </a:r>
          <a:r>
            <a:rPr lang="en-US" altLang="ko-KR" sz="1100" b="1" baseline="0"/>
            <a:t> </a:t>
          </a:r>
          <a:r>
            <a:rPr lang="ko-KR" altLang="en-US" sz="1100" b="1" baseline="0"/>
            <a:t>프로젝트정보 </a:t>
          </a:r>
          <a:r>
            <a:rPr lang="en-US" altLang="ko-KR" sz="1100" b="1" baseline="0"/>
            <a:t>- </a:t>
          </a:r>
          <a:r>
            <a:rPr lang="ko-KR" altLang="en-US" sz="1100" b="1" baseline="0"/>
            <a:t>판매업체</a:t>
          </a:r>
          <a:r>
            <a:rPr lang="en-US" altLang="ko-KR" sz="1100" b="1" baseline="0"/>
            <a:t>/</a:t>
          </a:r>
          <a:r>
            <a:rPr lang="ko-KR" altLang="en-US" sz="1100" b="1" baseline="0"/>
            <a:t>설치업체</a:t>
          </a:r>
          <a:r>
            <a:rPr lang="en-US" altLang="ko-KR" sz="1100" b="1" baseline="0"/>
            <a:t>]</a:t>
          </a:r>
        </a:p>
        <a:p>
          <a:pPr algn="l"/>
          <a:r>
            <a:rPr lang="ko-KR" altLang="en-US" sz="1100" b="1" baseline="0"/>
            <a:t>만약  프로젝트 설치업체가 복수일경우  선택하여 입력</a:t>
          </a:r>
          <a:endParaRPr lang="en-US" altLang="ko-KR" sz="11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jung@hungil.co.kr" TargetMode="External"/><Relationship Id="rId13" Type="http://schemas.openxmlformats.org/officeDocument/2006/relationships/hyperlink" Target="mailto:woosung@wsweld.co.kr" TargetMode="External"/><Relationship Id="rId3" Type="http://schemas.openxmlformats.org/officeDocument/2006/relationships/hyperlink" Target="mailto:dykim1206@gmail.com" TargetMode="External"/><Relationship Id="rId7" Type="http://schemas.openxmlformats.org/officeDocument/2006/relationships/hyperlink" Target="mailto:fimkohan@naver.com" TargetMode="External"/><Relationship Id="rId12" Type="http://schemas.openxmlformats.org/officeDocument/2006/relationships/hyperlink" Target="mailto:i88kangjae@nate.com" TargetMode="External"/><Relationship Id="rId2" Type="http://schemas.openxmlformats.org/officeDocument/2006/relationships/hyperlink" Target="mailto:yeb0608@kdiwin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hamchunseung2@gmail.com" TargetMode="External"/><Relationship Id="rId6" Type="http://schemas.openxmlformats.org/officeDocument/2006/relationships/hyperlink" Target="mailto:sbm1@hanmail.net" TargetMode="External"/><Relationship Id="rId11" Type="http://schemas.openxmlformats.org/officeDocument/2006/relationships/hyperlink" Target="mailto:hanwonkyu@hyundai-steel.com" TargetMode="External"/><Relationship Id="rId5" Type="http://schemas.openxmlformats.org/officeDocument/2006/relationships/hyperlink" Target="mailto:sb_team@hanmail.net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sclub78@dmtek.co.kr" TargetMode="External"/><Relationship Id="rId4" Type="http://schemas.openxmlformats.org/officeDocument/2006/relationships/hyperlink" Target="mailto:jyleea@lsmetal.biz" TargetMode="External"/><Relationship Id="rId9" Type="http://schemas.openxmlformats.org/officeDocument/2006/relationships/hyperlink" Target="mailto:kim.daeyoung@hd.com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3"/>
  <sheetViews>
    <sheetView zoomScale="70" zoomScaleNormal="70" workbookViewId="0">
      <selection activeCell="D38" sqref="D38"/>
    </sheetView>
    <sheetView zoomScale="70" zoomScaleNormal="70" workbookViewId="1">
      <selection activeCell="K36" sqref="K36"/>
    </sheetView>
  </sheetViews>
  <sheetFormatPr defaultRowHeight="17.399999999999999"/>
  <cols>
    <col min="1" max="1" width="8.796875" style="1"/>
    <col min="2" max="2" width="5.59765625" style="1" customWidth="1"/>
    <col min="3" max="3" width="15.59765625" style="1" customWidth="1"/>
    <col min="4" max="4" width="21" style="1" customWidth="1"/>
    <col min="5" max="5" width="21.59765625" style="1" customWidth="1"/>
    <col min="6" max="6" width="72.5" style="71" customWidth="1"/>
    <col min="7" max="7" width="13.09765625" style="1" customWidth="1"/>
    <col min="8" max="8" width="16.59765625" style="1" customWidth="1"/>
    <col min="9" max="9" width="13.09765625" style="1" customWidth="1"/>
    <col min="10" max="10" width="16.296875" style="1" customWidth="1"/>
    <col min="11" max="11" width="29.796875" style="71" customWidth="1"/>
    <col min="12" max="12" width="31.19921875" style="1" customWidth="1"/>
    <col min="13" max="16384" width="8.796875" style="1"/>
  </cols>
  <sheetData>
    <row r="2" spans="2:12">
      <c r="B2" s="61" t="s">
        <v>0</v>
      </c>
      <c r="C2" s="61"/>
    </row>
    <row r="3" spans="2:12" ht="18" thickBot="1"/>
    <row r="4" spans="2:12" ht="18" thickBot="1">
      <c r="B4" s="58" t="s">
        <v>10</v>
      </c>
      <c r="C4" s="59"/>
      <c r="D4" s="59"/>
      <c r="E4" s="152"/>
    </row>
    <row r="5" spans="2:12" ht="18" thickBot="1"/>
    <row r="6" spans="2:12" ht="33.6" customHeight="1" thickTop="1" thickBot="1">
      <c r="B6" s="10" t="s">
        <v>1</v>
      </c>
      <c r="C6" s="92" t="s">
        <v>447</v>
      </c>
      <c r="D6" s="11" t="s">
        <v>2</v>
      </c>
      <c r="E6" s="44" t="s">
        <v>363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12" t="s">
        <v>342</v>
      </c>
    </row>
    <row r="7" spans="2:12">
      <c r="B7" s="62">
        <f>IF(E7&lt;&gt;"",ROW()-6,"")</f>
        <v>1</v>
      </c>
      <c r="C7" s="63" t="s">
        <v>392</v>
      </c>
      <c r="D7" s="55" t="s">
        <v>478</v>
      </c>
      <c r="E7" s="55" t="s">
        <v>262</v>
      </c>
      <c r="F7" s="72" t="s">
        <v>479</v>
      </c>
      <c r="G7" s="55" t="s">
        <v>480</v>
      </c>
      <c r="H7" s="55"/>
      <c r="I7" s="55" t="s">
        <v>107</v>
      </c>
      <c r="J7" s="55" t="s">
        <v>481</v>
      </c>
      <c r="K7" s="75" t="s">
        <v>482</v>
      </c>
      <c r="L7" s="64" t="s">
        <v>483</v>
      </c>
    </row>
    <row r="8" spans="2:12">
      <c r="B8" s="62">
        <f>IF(E8&lt;&gt;"",ROW()-6,"")</f>
        <v>2</v>
      </c>
      <c r="C8" s="63" t="s">
        <v>476</v>
      </c>
      <c r="D8" s="55" t="s">
        <v>55</v>
      </c>
      <c r="E8" s="55" t="s">
        <v>116</v>
      </c>
      <c r="F8" s="72" t="s">
        <v>56</v>
      </c>
      <c r="G8" s="55" t="s">
        <v>110</v>
      </c>
      <c r="H8" s="55" t="s">
        <v>112</v>
      </c>
      <c r="I8" s="55" t="s">
        <v>111</v>
      </c>
      <c r="J8" s="55" t="s">
        <v>113</v>
      </c>
      <c r="K8" s="75" t="s">
        <v>114</v>
      </c>
      <c r="L8" s="64"/>
    </row>
    <row r="9" spans="2:12">
      <c r="B9" s="65">
        <f t="shared" ref="B9:B19" si="0">IF(E9&lt;&gt;"",ROW()-6,"")</f>
        <v>3</v>
      </c>
      <c r="C9" s="63" t="s">
        <v>393</v>
      </c>
      <c r="D9" s="56" t="s">
        <v>57</v>
      </c>
      <c r="E9" s="56" t="s">
        <v>329</v>
      </c>
      <c r="F9" s="73" t="s">
        <v>58</v>
      </c>
      <c r="G9" s="56" t="s">
        <v>231</v>
      </c>
      <c r="H9" s="56" t="s">
        <v>233</v>
      </c>
      <c r="I9" s="56" t="s">
        <v>122</v>
      </c>
      <c r="J9" s="56" t="s">
        <v>232</v>
      </c>
      <c r="K9" s="76" t="s">
        <v>234</v>
      </c>
      <c r="L9" s="66"/>
    </row>
    <row r="10" spans="2:12">
      <c r="B10" s="65">
        <f t="shared" si="0"/>
        <v>4</v>
      </c>
      <c r="C10" s="63" t="s">
        <v>394</v>
      </c>
      <c r="D10" s="56" t="s">
        <v>59</v>
      </c>
      <c r="E10" s="56" t="s">
        <v>275</v>
      </c>
      <c r="F10" s="73" t="s">
        <v>65</v>
      </c>
      <c r="G10" s="56" t="s">
        <v>106</v>
      </c>
      <c r="H10" s="56"/>
      <c r="I10" s="56" t="s">
        <v>107</v>
      </c>
      <c r="J10" s="56" t="s">
        <v>108</v>
      </c>
      <c r="K10" s="76" t="s">
        <v>109</v>
      </c>
      <c r="L10" s="66"/>
    </row>
    <row r="11" spans="2:12">
      <c r="B11" s="65">
        <f t="shared" si="0"/>
        <v>5</v>
      </c>
      <c r="C11" s="63" t="s">
        <v>395</v>
      </c>
      <c r="D11" s="56" t="s">
        <v>235</v>
      </c>
      <c r="E11" s="56" t="s">
        <v>128</v>
      </c>
      <c r="F11" s="73" t="s">
        <v>129</v>
      </c>
      <c r="G11" s="56" t="s">
        <v>130</v>
      </c>
      <c r="H11" s="56"/>
      <c r="I11" s="56" t="s">
        <v>107</v>
      </c>
      <c r="J11" s="56" t="s">
        <v>131</v>
      </c>
      <c r="K11" s="76" t="s">
        <v>132</v>
      </c>
      <c r="L11" s="66"/>
    </row>
    <row r="12" spans="2:12">
      <c r="B12" s="65">
        <f t="shared" si="0"/>
        <v>6</v>
      </c>
      <c r="C12" s="63" t="s">
        <v>396</v>
      </c>
      <c r="D12" s="56" t="s">
        <v>60</v>
      </c>
      <c r="E12" s="56" t="s">
        <v>61</v>
      </c>
      <c r="F12" s="73" t="s">
        <v>62</v>
      </c>
      <c r="G12" s="56" t="s">
        <v>121</v>
      </c>
      <c r="H12" s="56"/>
      <c r="I12" s="56" t="s">
        <v>122</v>
      </c>
      <c r="J12" s="56" t="s">
        <v>134</v>
      </c>
      <c r="K12" s="76" t="s">
        <v>135</v>
      </c>
      <c r="L12" s="66"/>
    </row>
    <row r="13" spans="2:12">
      <c r="B13" s="65">
        <f t="shared" si="0"/>
        <v>7</v>
      </c>
      <c r="C13" s="63" t="s">
        <v>397</v>
      </c>
      <c r="D13" s="56" t="s">
        <v>63</v>
      </c>
      <c r="E13" s="56" t="s">
        <v>288</v>
      </c>
      <c r="F13" s="73" t="s">
        <v>64</v>
      </c>
      <c r="G13" s="56" t="s">
        <v>123</v>
      </c>
      <c r="H13" s="56" t="s">
        <v>125</v>
      </c>
      <c r="I13" s="56" t="s">
        <v>124</v>
      </c>
      <c r="J13" s="56" t="s">
        <v>126</v>
      </c>
      <c r="K13" s="76" t="s">
        <v>127</v>
      </c>
      <c r="L13" s="66"/>
    </row>
    <row r="14" spans="2:12">
      <c r="B14" s="65">
        <f t="shared" si="0"/>
        <v>8</v>
      </c>
      <c r="C14" s="63" t="s">
        <v>398</v>
      </c>
      <c r="D14" s="56" t="s">
        <v>66</v>
      </c>
      <c r="E14" s="56" t="s">
        <v>67</v>
      </c>
      <c r="F14" s="73" t="s">
        <v>148</v>
      </c>
      <c r="G14" s="56" t="s">
        <v>149</v>
      </c>
      <c r="H14" s="56" t="s">
        <v>150</v>
      </c>
      <c r="I14" s="56" t="s">
        <v>151</v>
      </c>
      <c r="J14" s="56" t="s">
        <v>152</v>
      </c>
      <c r="K14" s="76" t="s">
        <v>153</v>
      </c>
      <c r="L14" s="66"/>
    </row>
    <row r="15" spans="2:12">
      <c r="B15" s="65">
        <f t="shared" si="0"/>
        <v>9</v>
      </c>
      <c r="C15" s="63" t="s">
        <v>399</v>
      </c>
      <c r="D15" s="56" t="s">
        <v>68</v>
      </c>
      <c r="E15" s="56" t="s">
        <v>117</v>
      </c>
      <c r="F15" s="73" t="s">
        <v>69</v>
      </c>
      <c r="G15" s="56" t="s">
        <v>118</v>
      </c>
      <c r="H15" s="56"/>
      <c r="I15" s="56" t="s">
        <v>107</v>
      </c>
      <c r="J15" s="56" t="s">
        <v>119</v>
      </c>
      <c r="K15" s="76" t="s">
        <v>120</v>
      </c>
      <c r="L15" s="66"/>
    </row>
    <row r="16" spans="2:12">
      <c r="B16" s="65">
        <f t="shared" si="0"/>
        <v>10</v>
      </c>
      <c r="C16" s="63" t="s">
        <v>400</v>
      </c>
      <c r="D16" s="56" t="s">
        <v>70</v>
      </c>
      <c r="E16" s="56" t="s">
        <v>147</v>
      </c>
      <c r="F16" s="73" t="s">
        <v>71</v>
      </c>
      <c r="G16" s="56" t="s">
        <v>142</v>
      </c>
      <c r="H16" s="56" t="s">
        <v>144</v>
      </c>
      <c r="I16" s="56" t="s">
        <v>143</v>
      </c>
      <c r="J16" s="56" t="s">
        <v>145</v>
      </c>
      <c r="K16" s="76" t="s">
        <v>146</v>
      </c>
      <c r="L16" s="66"/>
    </row>
    <row r="17" spans="2:12">
      <c r="B17" s="65">
        <f t="shared" si="0"/>
        <v>11</v>
      </c>
      <c r="C17" s="63" t="s">
        <v>401</v>
      </c>
      <c r="D17" s="56" t="s">
        <v>236</v>
      </c>
      <c r="E17" s="56" t="s">
        <v>137</v>
      </c>
      <c r="F17" s="73" t="s">
        <v>138</v>
      </c>
      <c r="G17" s="56" t="s">
        <v>139</v>
      </c>
      <c r="H17" s="56"/>
      <c r="I17" s="56" t="s">
        <v>107</v>
      </c>
      <c r="J17" s="56" t="s">
        <v>140</v>
      </c>
      <c r="K17" s="76" t="s">
        <v>141</v>
      </c>
      <c r="L17" s="66"/>
    </row>
    <row r="18" spans="2:12">
      <c r="B18" s="65">
        <f t="shared" si="0"/>
        <v>12</v>
      </c>
      <c r="C18" s="63" t="s">
        <v>402</v>
      </c>
      <c r="D18" s="56" t="s">
        <v>336</v>
      </c>
      <c r="E18" s="56" t="s">
        <v>201</v>
      </c>
      <c r="F18" s="73" t="s">
        <v>359</v>
      </c>
      <c r="G18" s="56" t="s">
        <v>331</v>
      </c>
      <c r="H18" s="56" t="s">
        <v>332</v>
      </c>
      <c r="I18" s="56" t="s">
        <v>333</v>
      </c>
      <c r="J18" s="56" t="s">
        <v>334</v>
      </c>
      <c r="K18" s="76" t="s">
        <v>335</v>
      </c>
      <c r="L18" s="66"/>
    </row>
    <row r="19" spans="2:12">
      <c r="B19" s="65">
        <f t="shared" si="0"/>
        <v>13</v>
      </c>
      <c r="C19" s="63" t="s">
        <v>477</v>
      </c>
      <c r="D19" s="56"/>
      <c r="E19" s="56" t="s">
        <v>115</v>
      </c>
      <c r="F19" s="73" t="s">
        <v>362</v>
      </c>
      <c r="G19" s="56" t="s">
        <v>339</v>
      </c>
      <c r="H19" s="56"/>
      <c r="I19" s="56" t="s">
        <v>107</v>
      </c>
      <c r="J19" s="56" t="s">
        <v>340</v>
      </c>
      <c r="K19" s="76" t="s">
        <v>341</v>
      </c>
      <c r="L19" s="66"/>
    </row>
    <row r="20" spans="2:12">
      <c r="B20" s="65"/>
      <c r="C20" s="67"/>
      <c r="D20" s="56"/>
      <c r="E20" s="56"/>
      <c r="F20" s="73"/>
      <c r="G20" s="56"/>
      <c r="H20" s="56"/>
      <c r="I20" s="56"/>
      <c r="J20" s="56"/>
      <c r="K20" s="73"/>
      <c r="L20" s="66"/>
    </row>
    <row r="21" spans="2:12">
      <c r="B21" s="65"/>
      <c r="C21" s="67"/>
      <c r="D21" s="56"/>
      <c r="E21" s="56"/>
      <c r="F21" s="73"/>
      <c r="G21" s="56"/>
      <c r="H21" s="56"/>
      <c r="I21" s="56"/>
      <c r="J21" s="56"/>
      <c r="K21" s="73"/>
      <c r="L21" s="66"/>
    </row>
    <row r="22" spans="2:12">
      <c r="B22" s="65"/>
      <c r="C22" s="67"/>
      <c r="D22" s="56"/>
      <c r="E22" s="56"/>
      <c r="F22" s="73"/>
      <c r="G22" s="56"/>
      <c r="H22" s="56"/>
      <c r="I22" s="56"/>
      <c r="J22" s="56"/>
      <c r="K22" s="73"/>
      <c r="L22" s="66"/>
    </row>
    <row r="23" spans="2:12">
      <c r="B23" s="65"/>
      <c r="C23" s="67"/>
      <c r="D23" s="56"/>
      <c r="E23" s="56"/>
      <c r="F23" s="73"/>
      <c r="G23" s="56"/>
      <c r="H23" s="56"/>
      <c r="I23" s="56"/>
      <c r="J23" s="56"/>
      <c r="K23" s="73"/>
      <c r="L23" s="66"/>
    </row>
    <row r="24" spans="2:12">
      <c r="B24" s="65"/>
      <c r="C24" s="67"/>
      <c r="D24" s="56"/>
      <c r="E24" s="56"/>
      <c r="F24" s="73"/>
      <c r="G24" s="56"/>
      <c r="H24" s="56"/>
      <c r="I24" s="56"/>
      <c r="J24" s="56"/>
      <c r="K24" s="73"/>
      <c r="L24" s="66"/>
    </row>
    <row r="25" spans="2:12">
      <c r="B25" s="65"/>
      <c r="C25" s="67"/>
      <c r="D25" s="56"/>
      <c r="E25" s="56"/>
      <c r="F25" s="73"/>
      <c r="G25" s="56"/>
      <c r="H25" s="56"/>
      <c r="I25" s="56"/>
      <c r="J25" s="56"/>
      <c r="K25" s="73"/>
      <c r="L25" s="66"/>
    </row>
    <row r="26" spans="2:12">
      <c r="B26" s="65"/>
      <c r="C26" s="67"/>
      <c r="D26" s="56"/>
      <c r="E26" s="56"/>
      <c r="F26" s="73"/>
      <c r="G26" s="56"/>
      <c r="H26" s="56"/>
      <c r="I26" s="56"/>
      <c r="J26" s="56"/>
      <c r="K26" s="73"/>
      <c r="L26" s="66"/>
    </row>
    <row r="27" spans="2:12">
      <c r="B27" s="65"/>
      <c r="C27" s="67"/>
      <c r="D27" s="56"/>
      <c r="E27" s="56"/>
      <c r="F27" s="73"/>
      <c r="G27" s="56"/>
      <c r="H27" s="56"/>
      <c r="I27" s="56"/>
      <c r="J27" s="56"/>
      <c r="K27" s="73"/>
      <c r="L27" s="66"/>
    </row>
    <row r="28" spans="2:12">
      <c r="B28" s="65"/>
      <c r="C28" s="67"/>
      <c r="D28" s="56"/>
      <c r="E28" s="56"/>
      <c r="F28" s="73"/>
      <c r="G28" s="56"/>
      <c r="H28" s="56"/>
      <c r="I28" s="56"/>
      <c r="J28" s="56"/>
      <c r="K28" s="73"/>
      <c r="L28" s="66"/>
    </row>
    <row r="29" spans="2:12">
      <c r="B29" s="65"/>
      <c r="C29" s="67"/>
      <c r="D29" s="56"/>
      <c r="E29" s="56"/>
      <c r="F29" s="73"/>
      <c r="G29" s="56"/>
      <c r="H29" s="56"/>
      <c r="I29" s="56"/>
      <c r="J29" s="56"/>
      <c r="K29" s="73"/>
      <c r="L29" s="66"/>
    </row>
    <row r="30" spans="2:12">
      <c r="B30" s="65"/>
      <c r="C30" s="67"/>
      <c r="D30" s="56"/>
      <c r="E30" s="56"/>
      <c r="F30" s="73"/>
      <c r="G30" s="56"/>
      <c r="H30" s="56"/>
      <c r="I30" s="56"/>
      <c r="J30" s="56"/>
      <c r="K30" s="73"/>
      <c r="L30" s="66"/>
    </row>
    <row r="31" spans="2:12">
      <c r="B31" s="65"/>
      <c r="C31" s="67"/>
      <c r="D31" s="56"/>
      <c r="E31" s="56"/>
      <c r="F31" s="73"/>
      <c r="G31" s="56"/>
      <c r="H31" s="56"/>
      <c r="I31" s="56"/>
      <c r="J31" s="56"/>
      <c r="K31" s="73"/>
      <c r="L31" s="66"/>
    </row>
    <row r="32" spans="2:12">
      <c r="B32" s="65"/>
      <c r="C32" s="67"/>
      <c r="D32" s="56"/>
      <c r="E32" s="56"/>
      <c r="F32" s="73"/>
      <c r="G32" s="56"/>
      <c r="H32" s="56"/>
      <c r="I32" s="56"/>
      <c r="J32" s="56"/>
      <c r="K32" s="73"/>
      <c r="L32" s="66"/>
    </row>
    <row r="33" spans="2:12">
      <c r="B33" s="65"/>
      <c r="C33" s="67"/>
      <c r="D33" s="56"/>
      <c r="E33" s="56"/>
      <c r="F33" s="73"/>
      <c r="G33" s="56"/>
      <c r="H33" s="56"/>
      <c r="I33" s="56"/>
      <c r="J33" s="56"/>
      <c r="K33" s="73"/>
      <c r="L33" s="66"/>
    </row>
    <row r="34" spans="2:12">
      <c r="B34" s="65"/>
      <c r="C34" s="67"/>
      <c r="D34" s="56"/>
      <c r="E34" s="56"/>
      <c r="F34" s="73"/>
      <c r="G34" s="56"/>
      <c r="H34" s="56"/>
      <c r="I34" s="56"/>
      <c r="J34" s="56"/>
      <c r="K34" s="73"/>
      <c r="L34" s="66"/>
    </row>
    <row r="35" spans="2:12">
      <c r="B35" s="65"/>
      <c r="C35" s="67"/>
      <c r="D35" s="56"/>
      <c r="E35" s="56"/>
      <c r="F35" s="73"/>
      <c r="G35" s="56"/>
      <c r="H35" s="56"/>
      <c r="I35" s="56"/>
      <c r="J35" s="56"/>
      <c r="K35" s="73"/>
      <c r="L35" s="66"/>
    </row>
    <row r="36" spans="2:12">
      <c r="B36" s="65"/>
      <c r="C36" s="67"/>
      <c r="D36" s="56"/>
      <c r="E36" s="56"/>
      <c r="F36" s="73"/>
      <c r="G36" s="56"/>
      <c r="H36" s="56"/>
      <c r="I36" s="56"/>
      <c r="J36" s="56"/>
      <c r="K36" s="73"/>
      <c r="L36" s="66"/>
    </row>
    <row r="37" spans="2:12">
      <c r="B37" s="65"/>
      <c r="C37" s="67"/>
      <c r="D37" s="56"/>
      <c r="E37" s="56"/>
      <c r="F37" s="73"/>
      <c r="G37" s="56"/>
      <c r="H37" s="56"/>
      <c r="I37" s="56"/>
      <c r="J37" s="56"/>
      <c r="K37" s="73"/>
      <c r="L37" s="66"/>
    </row>
    <row r="38" spans="2:12">
      <c r="B38" s="65"/>
      <c r="C38" s="67"/>
      <c r="D38" s="56"/>
      <c r="E38" s="56"/>
      <c r="F38" s="73"/>
      <c r="G38" s="56"/>
      <c r="H38" s="56"/>
      <c r="I38" s="56"/>
      <c r="J38" s="56"/>
      <c r="K38" s="73"/>
      <c r="L38" s="66"/>
    </row>
    <row r="39" spans="2:12">
      <c r="B39" s="65"/>
      <c r="C39" s="67"/>
      <c r="D39" s="56"/>
      <c r="E39" s="56"/>
      <c r="F39" s="73"/>
      <c r="G39" s="56"/>
      <c r="H39" s="56"/>
      <c r="I39" s="56"/>
      <c r="J39" s="56"/>
      <c r="K39" s="73"/>
      <c r="L39" s="66"/>
    </row>
    <row r="40" spans="2:12">
      <c r="B40" s="65"/>
      <c r="C40" s="67"/>
      <c r="D40" s="56"/>
      <c r="E40" s="56"/>
      <c r="F40" s="73"/>
      <c r="G40" s="56"/>
      <c r="H40" s="56"/>
      <c r="I40" s="56"/>
      <c r="J40" s="56"/>
      <c r="K40" s="73"/>
      <c r="L40" s="66"/>
    </row>
    <row r="41" spans="2:12">
      <c r="B41" s="65"/>
      <c r="C41" s="67"/>
      <c r="D41" s="56"/>
      <c r="E41" s="56"/>
      <c r="F41" s="73"/>
      <c r="G41" s="56"/>
      <c r="H41" s="56"/>
      <c r="I41" s="56"/>
      <c r="J41" s="56"/>
      <c r="K41" s="73"/>
      <c r="L41" s="66"/>
    </row>
    <row r="42" spans="2:12">
      <c r="B42" s="65"/>
      <c r="C42" s="67"/>
      <c r="D42" s="56"/>
      <c r="E42" s="56"/>
      <c r="F42" s="73"/>
      <c r="G42" s="56"/>
      <c r="H42" s="56"/>
      <c r="I42" s="56"/>
      <c r="J42" s="56"/>
      <c r="K42" s="73"/>
      <c r="L42" s="66"/>
    </row>
    <row r="43" spans="2:12">
      <c r="B43" s="65"/>
      <c r="C43" s="67"/>
      <c r="D43" s="56"/>
      <c r="E43" s="56"/>
      <c r="F43" s="73"/>
      <c r="G43" s="56"/>
      <c r="H43" s="56"/>
      <c r="I43" s="56"/>
      <c r="J43" s="56"/>
      <c r="K43" s="73"/>
      <c r="L43" s="66"/>
    </row>
    <row r="44" spans="2:12">
      <c r="B44" s="65"/>
      <c r="C44" s="67"/>
      <c r="D44" s="56"/>
      <c r="E44" s="56"/>
      <c r="F44" s="73"/>
      <c r="G44" s="56"/>
      <c r="H44" s="56"/>
      <c r="I44" s="56"/>
      <c r="J44" s="56"/>
      <c r="K44" s="73"/>
      <c r="L44" s="66"/>
    </row>
    <row r="45" spans="2:12">
      <c r="B45" s="65"/>
      <c r="C45" s="67"/>
      <c r="D45" s="56"/>
      <c r="E45" s="56"/>
      <c r="F45" s="73"/>
      <c r="G45" s="56"/>
      <c r="H45" s="56"/>
      <c r="I45" s="56"/>
      <c r="J45" s="56"/>
      <c r="K45" s="73"/>
      <c r="L45" s="66"/>
    </row>
    <row r="46" spans="2:12">
      <c r="B46" s="65"/>
      <c r="C46" s="67"/>
      <c r="D46" s="56"/>
      <c r="E46" s="56"/>
      <c r="F46" s="73"/>
      <c r="G46" s="56"/>
      <c r="H46" s="56"/>
      <c r="I46" s="56"/>
      <c r="J46" s="56"/>
      <c r="K46" s="73"/>
      <c r="L46" s="66"/>
    </row>
    <row r="47" spans="2:12">
      <c r="B47" s="65"/>
      <c r="C47" s="67"/>
      <c r="D47" s="56"/>
      <c r="E47" s="56"/>
      <c r="F47" s="73"/>
      <c r="G47" s="56"/>
      <c r="H47" s="56"/>
      <c r="I47" s="56"/>
      <c r="J47" s="56"/>
      <c r="K47" s="73"/>
      <c r="L47" s="66"/>
    </row>
    <row r="48" spans="2:12">
      <c r="B48" s="65"/>
      <c r="C48" s="67"/>
      <c r="D48" s="56"/>
      <c r="E48" s="56"/>
      <c r="F48" s="73"/>
      <c r="G48" s="56"/>
      <c r="H48" s="56"/>
      <c r="I48" s="56"/>
      <c r="J48" s="56"/>
      <c r="K48" s="73"/>
      <c r="L48" s="66"/>
    </row>
    <row r="49" spans="2:12">
      <c r="B49" s="65"/>
      <c r="C49" s="67"/>
      <c r="D49" s="56"/>
      <c r="E49" s="56"/>
      <c r="F49" s="73"/>
      <c r="G49" s="56"/>
      <c r="H49" s="56"/>
      <c r="I49" s="56"/>
      <c r="J49" s="56"/>
      <c r="K49" s="73"/>
      <c r="L49" s="66"/>
    </row>
    <row r="50" spans="2:12">
      <c r="B50" s="65"/>
      <c r="C50" s="67"/>
      <c r="D50" s="56"/>
      <c r="E50" s="56"/>
      <c r="F50" s="73"/>
      <c r="G50" s="56"/>
      <c r="H50" s="56"/>
      <c r="I50" s="56"/>
      <c r="J50" s="56"/>
      <c r="K50" s="73"/>
      <c r="L50" s="66"/>
    </row>
    <row r="51" spans="2:12">
      <c r="B51" s="65"/>
      <c r="C51" s="67"/>
      <c r="D51" s="56"/>
      <c r="E51" s="56"/>
      <c r="F51" s="73"/>
      <c r="G51" s="56"/>
      <c r="H51" s="56"/>
      <c r="I51" s="56"/>
      <c r="J51" s="56"/>
      <c r="K51" s="73"/>
      <c r="L51" s="66"/>
    </row>
    <row r="52" spans="2:12">
      <c r="B52" s="65"/>
      <c r="C52" s="67"/>
      <c r="D52" s="56"/>
      <c r="E52" s="56"/>
      <c r="F52" s="73"/>
      <c r="G52" s="56"/>
      <c r="H52" s="56"/>
      <c r="I52" s="56"/>
      <c r="J52" s="56"/>
      <c r="K52" s="73"/>
      <c r="L52" s="66"/>
    </row>
    <row r="53" spans="2:12" ht="18" thickBot="1">
      <c r="B53" s="68"/>
      <c r="C53" s="69"/>
      <c r="D53" s="57"/>
      <c r="E53" s="57"/>
      <c r="F53" s="74"/>
      <c r="G53" s="57"/>
      <c r="H53" s="57"/>
      <c r="I53" s="57"/>
      <c r="J53" s="57"/>
      <c r="K53" s="74"/>
      <c r="L53" s="70"/>
    </row>
  </sheetData>
  <mergeCells count="1">
    <mergeCell ref="B4:D4"/>
  </mergeCells>
  <phoneticPr fontId="1" type="noConversion"/>
  <hyperlinks>
    <hyperlink ref="K10" r:id="rId1" xr:uid="{4196E051-CC7A-4315-B402-6BDF7D71D2BD}"/>
    <hyperlink ref="K8" r:id="rId2" xr:uid="{25CDE96F-FE7F-4786-8101-46ACE33FC3D4}"/>
    <hyperlink ref="K15" r:id="rId3" xr:uid="{9391F1F9-CBA4-4AEC-830B-34B6DAAD9470}"/>
    <hyperlink ref="K13" r:id="rId4" xr:uid="{7B11C4A7-ED17-4DE2-90E5-145AFBA5497E}"/>
    <hyperlink ref="K11" r:id="rId5" xr:uid="{9441D615-1914-4D6F-A706-150EA48806DD}"/>
    <hyperlink ref="K12" r:id="rId6" xr:uid="{18EAB05E-9D3E-4296-93E7-15F4543DA02E}"/>
    <hyperlink ref="K17" r:id="rId7" xr:uid="{87B6E02A-A9B8-459F-BE9A-3B8D220EFE88}"/>
    <hyperlink ref="K16" r:id="rId8" xr:uid="{372D696F-38D6-46D0-AB83-4DF62BF23E6B}"/>
    <hyperlink ref="K14" r:id="rId9" xr:uid="{EA9A15C2-5448-40F9-860F-19F049D10A18}"/>
    <hyperlink ref="K9" r:id="rId10" xr:uid="{4D100751-7313-47A6-ACF2-051F7274697B}"/>
    <hyperlink ref="K18" r:id="rId11" xr:uid="{C93ECF12-24B6-4B48-97A4-2726896089E1}"/>
    <hyperlink ref="K19" r:id="rId12" xr:uid="{7A3E198E-6D10-4E11-9672-44245CB605E5}"/>
    <hyperlink ref="K7" r:id="rId13" xr:uid="{0631543E-1F6E-4DB9-B252-C4E5ACD2A5B5}"/>
  </hyperlinks>
  <pageMargins left="0.7" right="0.7" top="0.75" bottom="0.75" header="0.3" footer="0.3"/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3088-4177-4A7B-BF87-F90EC31F9C45}">
  <dimension ref="B2:G54"/>
  <sheetViews>
    <sheetView zoomScale="115" zoomScaleNormal="115" workbookViewId="0">
      <selection activeCell="G19" sqref="G19"/>
    </sheetView>
    <sheetView zoomScale="85" zoomScaleNormal="85" workbookViewId="1">
      <selection activeCell="F15" sqref="F15"/>
    </sheetView>
  </sheetViews>
  <sheetFormatPr defaultRowHeight="17.399999999999999"/>
  <cols>
    <col min="1" max="1" width="8.796875" style="37"/>
    <col min="2" max="2" width="5.59765625" style="37" customWidth="1"/>
    <col min="3" max="3" width="16.296875" style="37" customWidth="1"/>
    <col min="4" max="4" width="19.59765625" style="37" customWidth="1"/>
    <col min="5" max="5" width="22.796875" style="37" customWidth="1"/>
    <col min="6" max="6" width="21" style="37" customWidth="1"/>
    <col min="7" max="7" width="20.19921875" style="37" customWidth="1"/>
    <col min="8" max="16384" width="8.796875" style="37"/>
  </cols>
  <sheetData>
    <row r="2" spans="2:7">
      <c r="B2" s="97" t="s">
        <v>0</v>
      </c>
    </row>
    <row r="3" spans="2:7" ht="18" thickBot="1"/>
    <row r="4" spans="2:7" ht="18" thickBot="1">
      <c r="B4" s="45" t="s">
        <v>484</v>
      </c>
      <c r="C4" s="46"/>
      <c r="D4" s="47"/>
      <c r="E4" s="153"/>
    </row>
    <row r="5" spans="2:7" ht="18" thickBot="1"/>
    <row r="6" spans="2:7" s="1" customFormat="1" ht="33.6" customHeight="1" thickTop="1" thickBot="1">
      <c r="B6" s="10" t="s">
        <v>1</v>
      </c>
      <c r="C6" s="95" t="s">
        <v>381</v>
      </c>
      <c r="D6" s="11" t="s">
        <v>499</v>
      </c>
      <c r="E6" s="122" t="s">
        <v>3</v>
      </c>
      <c r="F6" s="122" t="s">
        <v>338</v>
      </c>
      <c r="G6" s="96" t="s">
        <v>35</v>
      </c>
    </row>
    <row r="7" spans="2:7">
      <c r="B7" s="98">
        <f t="shared" ref="B7" si="0">IF(E7&lt;&gt;"",ROW()-6,"")</f>
        <v>1</v>
      </c>
      <c r="C7" s="38" t="s">
        <v>485</v>
      </c>
      <c r="D7" s="38" t="s">
        <v>534</v>
      </c>
      <c r="E7" s="39" t="s">
        <v>262</v>
      </c>
      <c r="F7" s="39" t="s">
        <v>262</v>
      </c>
      <c r="G7" s="99">
        <v>36526</v>
      </c>
    </row>
    <row r="8" spans="2:7">
      <c r="B8" s="98">
        <f t="shared" ref="B8:B21" si="1">IF(E8&lt;&gt;"",ROW()-6,"")</f>
        <v>2</v>
      </c>
      <c r="C8" s="38" t="s">
        <v>486</v>
      </c>
      <c r="D8" s="38" t="s">
        <v>365</v>
      </c>
      <c r="E8" s="39" t="s">
        <v>275</v>
      </c>
      <c r="F8" s="39" t="s">
        <v>115</v>
      </c>
      <c r="G8" s="99">
        <v>44743</v>
      </c>
    </row>
    <row r="9" spans="2:7">
      <c r="B9" s="98">
        <f t="shared" si="1"/>
        <v>3</v>
      </c>
      <c r="C9" s="38" t="s">
        <v>487</v>
      </c>
      <c r="D9" s="38" t="s">
        <v>367</v>
      </c>
      <c r="E9" s="39" t="s">
        <v>137</v>
      </c>
      <c r="F9" s="39" t="s">
        <v>136</v>
      </c>
      <c r="G9" s="99">
        <v>44681</v>
      </c>
    </row>
    <row r="10" spans="2:7">
      <c r="B10" s="98">
        <f t="shared" si="1"/>
        <v>4</v>
      </c>
      <c r="C10" s="38" t="s">
        <v>488</v>
      </c>
      <c r="D10" s="38" t="s">
        <v>367</v>
      </c>
      <c r="E10" s="39" t="s">
        <v>137</v>
      </c>
      <c r="F10" s="39" t="s">
        <v>128</v>
      </c>
      <c r="G10" s="99">
        <v>44681</v>
      </c>
    </row>
    <row r="11" spans="2:7">
      <c r="B11" s="98">
        <v>4</v>
      </c>
      <c r="C11" s="38" t="s">
        <v>489</v>
      </c>
      <c r="D11" s="38" t="s">
        <v>367</v>
      </c>
      <c r="E11" s="38" t="s">
        <v>137</v>
      </c>
      <c r="F11" s="38"/>
      <c r="G11" s="99">
        <v>44681</v>
      </c>
    </row>
    <row r="12" spans="2:7">
      <c r="B12" s="98">
        <f>IF(E12&lt;&gt;"",ROW()-6,"")</f>
        <v>6</v>
      </c>
      <c r="C12" s="38" t="s">
        <v>490</v>
      </c>
      <c r="D12" s="38" t="s">
        <v>372</v>
      </c>
      <c r="E12" s="38" t="s">
        <v>116</v>
      </c>
      <c r="F12" s="38" t="s">
        <v>116</v>
      </c>
      <c r="G12" s="99">
        <v>44789</v>
      </c>
    </row>
    <row r="13" spans="2:7">
      <c r="B13" s="98">
        <f>IF(E13&lt;&gt;"",ROW()-6,"")</f>
        <v>7</v>
      </c>
      <c r="C13" s="38" t="s">
        <v>491</v>
      </c>
      <c r="D13" s="38" t="s">
        <v>372</v>
      </c>
      <c r="E13" s="38" t="s">
        <v>116</v>
      </c>
      <c r="F13" s="38" t="s">
        <v>116</v>
      </c>
      <c r="G13" s="99">
        <v>44789</v>
      </c>
    </row>
    <row r="14" spans="2:7">
      <c r="B14" s="98">
        <f t="shared" si="1"/>
        <v>8</v>
      </c>
      <c r="C14" s="38" t="s">
        <v>492</v>
      </c>
      <c r="D14" s="38" t="s">
        <v>383</v>
      </c>
      <c r="E14" s="39" t="s">
        <v>329</v>
      </c>
      <c r="F14" s="39" t="s">
        <v>230</v>
      </c>
      <c r="G14" s="99">
        <v>45168</v>
      </c>
    </row>
    <row r="15" spans="2:7">
      <c r="B15" s="98">
        <f t="shared" si="1"/>
        <v>9</v>
      </c>
      <c r="C15" s="38" t="s">
        <v>493</v>
      </c>
      <c r="D15" s="38" t="s">
        <v>384</v>
      </c>
      <c r="E15" s="39" t="s">
        <v>147</v>
      </c>
      <c r="F15" s="39" t="s">
        <v>147</v>
      </c>
      <c r="G15" s="99">
        <v>44986</v>
      </c>
    </row>
    <row r="16" spans="2:7">
      <c r="B16" s="98">
        <f t="shared" si="1"/>
        <v>10</v>
      </c>
      <c r="C16" s="38" t="s">
        <v>494</v>
      </c>
      <c r="D16" s="38" t="s">
        <v>384</v>
      </c>
      <c r="E16" s="39" t="s">
        <v>147</v>
      </c>
      <c r="F16" s="39" t="s">
        <v>147</v>
      </c>
      <c r="G16" s="99">
        <v>44986</v>
      </c>
    </row>
    <row r="17" spans="2:7">
      <c r="B17" s="98">
        <f t="shared" si="1"/>
        <v>11</v>
      </c>
      <c r="C17" s="38" t="s">
        <v>495</v>
      </c>
      <c r="D17" s="38" t="s">
        <v>385</v>
      </c>
      <c r="E17" s="39" t="s">
        <v>117</v>
      </c>
      <c r="F17" s="39" t="s">
        <v>117</v>
      </c>
      <c r="G17" s="99">
        <v>45047</v>
      </c>
    </row>
    <row r="18" spans="2:7">
      <c r="B18" s="98">
        <f t="shared" si="1"/>
        <v>12</v>
      </c>
      <c r="C18" s="38" t="s">
        <v>496</v>
      </c>
      <c r="D18" s="38" t="s">
        <v>386</v>
      </c>
      <c r="E18" s="39" t="s">
        <v>201</v>
      </c>
      <c r="F18" s="39" t="s">
        <v>201</v>
      </c>
      <c r="G18" s="99">
        <v>45580</v>
      </c>
    </row>
    <row r="19" spans="2:7">
      <c r="B19" s="98">
        <f t="shared" si="1"/>
        <v>13</v>
      </c>
      <c r="C19" s="38" t="s">
        <v>497</v>
      </c>
      <c r="D19" s="38" t="s">
        <v>387</v>
      </c>
      <c r="E19" s="39" t="s">
        <v>67</v>
      </c>
      <c r="F19" s="39" t="s">
        <v>67</v>
      </c>
      <c r="G19" s="99">
        <v>45631</v>
      </c>
    </row>
    <row r="20" spans="2:7">
      <c r="B20" s="98">
        <f t="shared" si="1"/>
        <v>14</v>
      </c>
      <c r="C20" s="38" t="s">
        <v>498</v>
      </c>
      <c r="D20" s="38" t="s">
        <v>388</v>
      </c>
      <c r="E20" s="39" t="s">
        <v>288</v>
      </c>
      <c r="F20" s="39" t="s">
        <v>288</v>
      </c>
      <c r="G20" s="99">
        <v>45649</v>
      </c>
    </row>
    <row r="21" spans="2:7">
      <c r="B21" s="98">
        <f t="shared" si="1"/>
        <v>15</v>
      </c>
      <c r="C21" s="38" t="s">
        <v>532</v>
      </c>
      <c r="D21" s="38" t="s">
        <v>389</v>
      </c>
      <c r="E21" s="39" t="s">
        <v>67</v>
      </c>
      <c r="F21" s="39" t="s">
        <v>67</v>
      </c>
      <c r="G21" s="99">
        <v>45656</v>
      </c>
    </row>
    <row r="22" spans="2:7">
      <c r="B22" s="98"/>
      <c r="C22" s="39"/>
      <c r="D22" s="39"/>
      <c r="E22" s="39"/>
      <c r="F22" s="39"/>
      <c r="G22" s="100"/>
    </row>
    <row r="23" spans="2:7">
      <c r="B23" s="98"/>
      <c r="C23" s="39"/>
      <c r="D23" s="39"/>
      <c r="E23" s="39"/>
      <c r="F23" s="39"/>
      <c r="G23" s="100"/>
    </row>
    <row r="24" spans="2:7">
      <c r="B24" s="98"/>
      <c r="C24" s="39"/>
      <c r="D24" s="39"/>
      <c r="E24" s="39"/>
      <c r="F24" s="39"/>
      <c r="G24" s="100"/>
    </row>
    <row r="25" spans="2:7">
      <c r="B25" s="98"/>
      <c r="C25" s="39"/>
      <c r="D25" s="39"/>
      <c r="E25" s="39"/>
      <c r="F25" s="39"/>
      <c r="G25" s="100"/>
    </row>
    <row r="26" spans="2:7">
      <c r="B26" s="98"/>
      <c r="C26" s="39"/>
      <c r="D26" s="39"/>
      <c r="E26" s="39"/>
      <c r="F26" s="39"/>
      <c r="G26" s="100"/>
    </row>
    <row r="27" spans="2:7">
      <c r="B27" s="98"/>
      <c r="C27" s="39"/>
      <c r="D27" s="39"/>
      <c r="E27" s="39"/>
      <c r="F27" s="39"/>
      <c r="G27" s="100"/>
    </row>
    <row r="28" spans="2:7">
      <c r="B28" s="98"/>
      <c r="C28" s="39"/>
      <c r="D28" s="39"/>
      <c r="E28" s="39"/>
      <c r="F28" s="39"/>
      <c r="G28" s="100"/>
    </row>
    <row r="29" spans="2:7">
      <c r="B29" s="98"/>
      <c r="C29" s="39"/>
      <c r="D29" s="39"/>
      <c r="E29" s="39"/>
      <c r="F29" s="39"/>
      <c r="G29" s="100"/>
    </row>
    <row r="30" spans="2:7">
      <c r="B30" s="98"/>
      <c r="C30" s="39"/>
      <c r="D30" s="39"/>
      <c r="E30" s="39"/>
      <c r="F30" s="39"/>
      <c r="G30" s="100"/>
    </row>
    <row r="31" spans="2:7">
      <c r="B31" s="98"/>
      <c r="C31" s="39"/>
      <c r="D31" s="39"/>
      <c r="E31" s="39"/>
      <c r="F31" s="39"/>
      <c r="G31" s="100"/>
    </row>
    <row r="32" spans="2:7">
      <c r="B32" s="98"/>
      <c r="C32" s="39"/>
      <c r="D32" s="39"/>
      <c r="E32" s="39"/>
      <c r="F32" s="39"/>
      <c r="G32" s="100"/>
    </row>
    <row r="33" spans="2:7">
      <c r="B33" s="98"/>
      <c r="C33" s="39"/>
      <c r="D33" s="39"/>
      <c r="E33" s="39"/>
      <c r="F33" s="39"/>
      <c r="G33" s="100"/>
    </row>
    <row r="34" spans="2:7">
      <c r="B34" s="98"/>
      <c r="C34" s="39"/>
      <c r="D34" s="39"/>
      <c r="E34" s="39"/>
      <c r="F34" s="39"/>
      <c r="G34" s="100"/>
    </row>
    <row r="35" spans="2:7">
      <c r="B35" s="98"/>
      <c r="C35" s="39"/>
      <c r="D35" s="39"/>
      <c r="E35" s="39"/>
      <c r="F35" s="39"/>
      <c r="G35" s="100"/>
    </row>
    <row r="36" spans="2:7">
      <c r="B36" s="98"/>
      <c r="C36" s="39"/>
      <c r="D36" s="39"/>
      <c r="E36" s="39"/>
      <c r="F36" s="39"/>
      <c r="G36" s="100"/>
    </row>
    <row r="37" spans="2:7">
      <c r="B37" s="98"/>
      <c r="C37" s="39"/>
      <c r="D37" s="39"/>
      <c r="E37" s="39"/>
      <c r="F37" s="39"/>
      <c r="G37" s="100"/>
    </row>
    <row r="38" spans="2:7">
      <c r="B38" s="98"/>
      <c r="C38" s="39"/>
      <c r="D38" s="39"/>
      <c r="E38" s="39"/>
      <c r="F38" s="39"/>
      <c r="G38" s="100"/>
    </row>
    <row r="39" spans="2:7">
      <c r="B39" s="98"/>
      <c r="C39" s="39"/>
      <c r="D39" s="39"/>
      <c r="E39" s="39"/>
      <c r="F39" s="39"/>
      <c r="G39" s="100"/>
    </row>
    <row r="40" spans="2:7">
      <c r="B40" s="98"/>
      <c r="C40" s="39"/>
      <c r="D40" s="39"/>
      <c r="E40" s="39"/>
      <c r="F40" s="39"/>
      <c r="G40" s="100"/>
    </row>
    <row r="41" spans="2:7">
      <c r="B41" s="98"/>
      <c r="C41" s="39"/>
      <c r="D41" s="39"/>
      <c r="E41" s="39"/>
      <c r="F41" s="39"/>
      <c r="G41" s="100"/>
    </row>
    <row r="42" spans="2:7">
      <c r="B42" s="98"/>
      <c r="C42" s="39"/>
      <c r="D42" s="39"/>
      <c r="E42" s="39"/>
      <c r="F42" s="39"/>
      <c r="G42" s="100"/>
    </row>
    <row r="43" spans="2:7">
      <c r="B43" s="98"/>
      <c r="C43" s="39"/>
      <c r="D43" s="39"/>
      <c r="E43" s="39"/>
      <c r="F43" s="39"/>
      <c r="G43" s="100"/>
    </row>
    <row r="44" spans="2:7">
      <c r="B44" s="98"/>
      <c r="C44" s="39"/>
      <c r="D44" s="39"/>
      <c r="E44" s="39"/>
      <c r="F44" s="39"/>
      <c r="G44" s="100"/>
    </row>
    <row r="45" spans="2:7">
      <c r="B45" s="98"/>
      <c r="C45" s="39"/>
      <c r="D45" s="39"/>
      <c r="E45" s="39"/>
      <c r="F45" s="39"/>
      <c r="G45" s="100"/>
    </row>
    <row r="46" spans="2:7">
      <c r="B46" s="98"/>
      <c r="C46" s="39"/>
      <c r="D46" s="39"/>
      <c r="E46" s="39"/>
      <c r="F46" s="39"/>
      <c r="G46" s="100"/>
    </row>
    <row r="47" spans="2:7">
      <c r="B47" s="98"/>
      <c r="C47" s="39"/>
      <c r="D47" s="39"/>
      <c r="E47" s="39"/>
      <c r="F47" s="39"/>
      <c r="G47" s="100"/>
    </row>
    <row r="48" spans="2:7">
      <c r="B48" s="98"/>
      <c r="C48" s="39"/>
      <c r="D48" s="39"/>
      <c r="E48" s="39"/>
      <c r="F48" s="39"/>
      <c r="G48" s="100"/>
    </row>
    <row r="49" spans="2:7">
      <c r="B49" s="98"/>
      <c r="C49" s="39"/>
      <c r="D49" s="39"/>
      <c r="E49" s="39"/>
      <c r="F49" s="39"/>
      <c r="G49" s="100"/>
    </row>
    <row r="50" spans="2:7">
      <c r="B50" s="98"/>
      <c r="C50" s="39"/>
      <c r="D50" s="39"/>
      <c r="E50" s="39"/>
      <c r="F50" s="39"/>
      <c r="G50" s="100"/>
    </row>
    <row r="51" spans="2:7">
      <c r="B51" s="98"/>
      <c r="C51" s="39"/>
      <c r="D51" s="39"/>
      <c r="E51" s="39"/>
      <c r="F51" s="39"/>
      <c r="G51" s="100"/>
    </row>
    <row r="52" spans="2:7">
      <c r="B52" s="98"/>
      <c r="C52" s="39"/>
      <c r="D52" s="39"/>
      <c r="E52" s="39"/>
      <c r="F52" s="39"/>
      <c r="G52" s="100"/>
    </row>
    <row r="53" spans="2:7">
      <c r="B53" s="98"/>
      <c r="C53" s="39"/>
      <c r="D53" s="39"/>
      <c r="E53" s="39"/>
      <c r="F53" s="39"/>
      <c r="G53" s="100"/>
    </row>
    <row r="54" spans="2:7" ht="18" thickBot="1">
      <c r="B54" s="101"/>
      <c r="C54" s="40"/>
      <c r="D54" s="40"/>
      <c r="E54" s="40"/>
      <c r="F54" s="40"/>
      <c r="G54" s="102"/>
    </row>
  </sheetData>
  <mergeCells count="1">
    <mergeCell ref="B4:D4"/>
  </mergeCells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D2CB-F79C-49A2-BE4C-6CA76BB032B7}">
  <dimension ref="B2:L45"/>
  <sheetViews>
    <sheetView zoomScale="70" zoomScaleNormal="70" workbookViewId="0">
      <selection activeCell="I36" sqref="I36"/>
    </sheetView>
    <sheetView zoomScale="85" zoomScaleNormal="85" workbookViewId="1">
      <selection activeCell="K14" sqref="K14"/>
    </sheetView>
  </sheetViews>
  <sheetFormatPr defaultRowHeight="17.399999999999999"/>
  <cols>
    <col min="1" max="1" width="8.796875" style="1"/>
    <col min="2" max="2" width="5.59765625" style="1" customWidth="1"/>
    <col min="3" max="3" width="16.296875" style="1" customWidth="1"/>
    <col min="4" max="4" width="20" style="1" customWidth="1"/>
    <col min="5" max="5" width="21.69921875" style="1" customWidth="1"/>
    <col min="6" max="8" width="19.59765625" style="1" customWidth="1"/>
    <col min="9" max="10" width="16" style="1" customWidth="1"/>
    <col min="11" max="12" width="18.5" style="1" customWidth="1"/>
    <col min="13" max="16384" width="8.796875" style="1"/>
  </cols>
  <sheetData>
    <row r="2" spans="2:12">
      <c r="B2" s="61" t="s">
        <v>0</v>
      </c>
    </row>
    <row r="3" spans="2:12" ht="18" thickBot="1"/>
    <row r="4" spans="2:12" ht="18" thickBot="1">
      <c r="B4" s="58" t="s">
        <v>20</v>
      </c>
      <c r="C4" s="59"/>
      <c r="D4" s="60"/>
      <c r="E4" s="152"/>
    </row>
    <row r="5" spans="2:12" ht="18" thickBot="1"/>
    <row r="6" spans="2:12" ht="33.6" customHeight="1" thickTop="1" thickBot="1">
      <c r="B6" s="10" t="s">
        <v>1</v>
      </c>
      <c r="C6" s="93" t="s">
        <v>449</v>
      </c>
      <c r="D6" s="104" t="s">
        <v>499</v>
      </c>
      <c r="E6" s="94" t="s">
        <v>338</v>
      </c>
      <c r="F6" s="11" t="s">
        <v>21</v>
      </c>
      <c r="G6" s="11" t="s">
        <v>315</v>
      </c>
      <c r="H6" s="11" t="s">
        <v>316</v>
      </c>
      <c r="I6" s="11" t="s">
        <v>22</v>
      </c>
      <c r="J6" s="11" t="s">
        <v>23</v>
      </c>
      <c r="K6" s="11" t="s">
        <v>16</v>
      </c>
      <c r="L6" s="96" t="s">
        <v>17</v>
      </c>
    </row>
    <row r="7" spans="2:12">
      <c r="B7" s="62">
        <f>IF(E7&lt;&gt;"",ROW()-6,"")</f>
        <v>1</v>
      </c>
      <c r="C7" s="55" t="s">
        <v>450</v>
      </c>
      <c r="D7" s="55" t="s">
        <v>365</v>
      </c>
      <c r="E7" s="55" t="s">
        <v>115</v>
      </c>
      <c r="F7" s="55" t="s">
        <v>337</v>
      </c>
      <c r="G7" s="55" t="s">
        <v>327</v>
      </c>
      <c r="H7" s="55" t="s">
        <v>328</v>
      </c>
      <c r="I7" s="55"/>
      <c r="J7" s="55"/>
      <c r="K7" s="55" t="s">
        <v>157</v>
      </c>
      <c r="L7" s="64" t="s">
        <v>158</v>
      </c>
    </row>
    <row r="8" spans="2:12">
      <c r="B8" s="62">
        <f t="shared" ref="B8:B22" si="0">IF(E8&lt;&gt;"",ROW()-6,"")</f>
        <v>2</v>
      </c>
      <c r="C8" s="55" t="s">
        <v>451</v>
      </c>
      <c r="D8" s="55" t="s">
        <v>367</v>
      </c>
      <c r="E8" s="55" t="s">
        <v>136</v>
      </c>
      <c r="F8" s="55" t="s">
        <v>313</v>
      </c>
      <c r="G8" s="55" t="s">
        <v>317</v>
      </c>
      <c r="H8" s="55" t="s">
        <v>318</v>
      </c>
      <c r="I8" s="55"/>
      <c r="J8" s="55"/>
      <c r="K8" s="55" t="s">
        <v>157</v>
      </c>
      <c r="L8" s="64" t="s">
        <v>158</v>
      </c>
    </row>
    <row r="9" spans="2:12">
      <c r="B9" s="62">
        <f t="shared" si="0"/>
        <v>3</v>
      </c>
      <c r="C9" s="55" t="s">
        <v>452</v>
      </c>
      <c r="D9" s="56" t="s">
        <v>367</v>
      </c>
      <c r="E9" s="56" t="s">
        <v>136</v>
      </c>
      <c r="F9" s="56" t="s">
        <v>314</v>
      </c>
      <c r="G9" s="56" t="s">
        <v>319</v>
      </c>
      <c r="H9" s="56" t="s">
        <v>320</v>
      </c>
      <c r="I9" s="56"/>
      <c r="J9" s="56"/>
      <c r="K9" s="56" t="s">
        <v>157</v>
      </c>
      <c r="L9" s="66" t="s">
        <v>158</v>
      </c>
    </row>
    <row r="10" spans="2:12">
      <c r="B10" s="62">
        <f t="shared" ref="B10:B11" si="1">IF(E10&lt;&gt;"",ROW()-6,"")</f>
        <v>4</v>
      </c>
      <c r="C10" s="55" t="s">
        <v>453</v>
      </c>
      <c r="D10" s="56" t="s">
        <v>367</v>
      </c>
      <c r="E10" s="56" t="s">
        <v>136</v>
      </c>
      <c r="F10" s="56" t="s">
        <v>314</v>
      </c>
      <c r="G10" s="56" t="s">
        <v>321</v>
      </c>
      <c r="H10" s="56" t="s">
        <v>322</v>
      </c>
      <c r="I10" s="56"/>
      <c r="J10" s="56"/>
      <c r="K10" s="56" t="s">
        <v>157</v>
      </c>
      <c r="L10" s="66" t="s">
        <v>158</v>
      </c>
    </row>
    <row r="11" spans="2:12">
      <c r="B11" s="62">
        <f t="shared" si="1"/>
        <v>5</v>
      </c>
      <c r="C11" s="55" t="s">
        <v>454</v>
      </c>
      <c r="D11" s="56" t="s">
        <v>367</v>
      </c>
      <c r="E11" s="56" t="s">
        <v>128</v>
      </c>
      <c r="F11" s="56" t="s">
        <v>313</v>
      </c>
      <c r="G11" s="56" t="s">
        <v>323</v>
      </c>
      <c r="H11" s="56" t="s">
        <v>324</v>
      </c>
      <c r="I11" s="56"/>
      <c r="J11" s="56"/>
      <c r="K11" s="56" t="s">
        <v>157</v>
      </c>
      <c r="L11" s="66" t="s">
        <v>158</v>
      </c>
    </row>
    <row r="12" spans="2:12">
      <c r="B12" s="62">
        <f t="shared" si="0"/>
        <v>6</v>
      </c>
      <c r="C12" s="55" t="s">
        <v>455</v>
      </c>
      <c r="D12" s="56" t="s">
        <v>367</v>
      </c>
      <c r="E12" s="56" t="s">
        <v>128</v>
      </c>
      <c r="F12" s="56" t="s">
        <v>314</v>
      </c>
      <c r="G12" s="56" t="s">
        <v>325</v>
      </c>
      <c r="H12" s="56" t="s">
        <v>326</v>
      </c>
      <c r="I12" s="56"/>
      <c r="J12" s="56"/>
      <c r="K12" s="56" t="s">
        <v>157</v>
      </c>
      <c r="L12" s="66" t="s">
        <v>158</v>
      </c>
    </row>
    <row r="13" spans="2:12">
      <c r="B13" s="62">
        <f t="shared" si="0"/>
        <v>7</v>
      </c>
      <c r="C13" s="55" t="s">
        <v>456</v>
      </c>
      <c r="D13" s="56" t="s">
        <v>374</v>
      </c>
      <c r="E13" s="56" t="s">
        <v>154</v>
      </c>
      <c r="F13" s="56" t="s">
        <v>313</v>
      </c>
      <c r="G13" s="56"/>
      <c r="H13" s="56"/>
      <c r="I13" s="56"/>
      <c r="J13" s="56"/>
      <c r="K13" s="56" t="s">
        <v>157</v>
      </c>
      <c r="L13" s="66" t="s">
        <v>158</v>
      </c>
    </row>
    <row r="14" spans="2:12">
      <c r="B14" s="62">
        <f t="shared" si="0"/>
        <v>8</v>
      </c>
      <c r="C14" s="55" t="s">
        <v>457</v>
      </c>
      <c r="D14" s="56" t="s">
        <v>374</v>
      </c>
      <c r="E14" s="56" t="s">
        <v>154</v>
      </c>
      <c r="F14" s="56" t="s">
        <v>314</v>
      </c>
      <c r="G14" s="56"/>
      <c r="H14" s="56"/>
      <c r="I14" s="56"/>
      <c r="J14" s="56"/>
      <c r="K14" s="56"/>
      <c r="L14" s="66"/>
    </row>
    <row r="15" spans="2:12">
      <c r="B15" s="62">
        <f t="shared" si="0"/>
        <v>9</v>
      </c>
      <c r="C15" s="55" t="s">
        <v>458</v>
      </c>
      <c r="D15" s="56" t="s">
        <v>378</v>
      </c>
      <c r="E15" s="56" t="s">
        <v>67</v>
      </c>
      <c r="F15" s="56" t="s">
        <v>313</v>
      </c>
      <c r="G15" s="56"/>
      <c r="H15" s="56"/>
      <c r="I15" s="56"/>
      <c r="J15" s="56"/>
      <c r="K15" s="56" t="s">
        <v>157</v>
      </c>
      <c r="L15" s="66" t="s">
        <v>158</v>
      </c>
    </row>
    <row r="16" spans="2:12">
      <c r="B16" s="62">
        <f t="shared" si="0"/>
        <v>10</v>
      </c>
      <c r="C16" s="55" t="s">
        <v>459</v>
      </c>
      <c r="D16" s="56" t="s">
        <v>378</v>
      </c>
      <c r="E16" s="56" t="s">
        <v>67</v>
      </c>
      <c r="F16" s="56" t="s">
        <v>314</v>
      </c>
      <c r="G16" s="56"/>
      <c r="H16" s="56"/>
      <c r="I16" s="56"/>
      <c r="J16" s="56"/>
      <c r="K16" s="56" t="s">
        <v>157</v>
      </c>
      <c r="L16" s="66" t="s">
        <v>158</v>
      </c>
    </row>
    <row r="17" spans="2:12">
      <c r="B17" s="62">
        <f t="shared" si="0"/>
        <v>11</v>
      </c>
      <c r="C17" s="55" t="s">
        <v>460</v>
      </c>
      <c r="D17" s="56" t="s">
        <v>378</v>
      </c>
      <c r="E17" s="56" t="s">
        <v>67</v>
      </c>
      <c r="F17" s="56" t="s">
        <v>314</v>
      </c>
      <c r="G17" s="56"/>
      <c r="H17" s="56"/>
      <c r="I17" s="56"/>
      <c r="J17" s="56"/>
      <c r="K17" s="56" t="s">
        <v>157</v>
      </c>
      <c r="L17" s="66" t="s">
        <v>158</v>
      </c>
    </row>
    <row r="18" spans="2:12">
      <c r="B18" s="62">
        <f t="shared" si="0"/>
        <v>12</v>
      </c>
      <c r="C18" s="55" t="s">
        <v>461</v>
      </c>
      <c r="D18" s="56" t="s">
        <v>379</v>
      </c>
      <c r="E18" s="56" t="s">
        <v>288</v>
      </c>
      <c r="F18" s="56" t="s">
        <v>238</v>
      </c>
      <c r="G18" s="56"/>
      <c r="H18" s="56"/>
      <c r="I18" s="56"/>
      <c r="J18" s="56"/>
      <c r="K18" s="56" t="s">
        <v>200</v>
      </c>
      <c r="L18" s="66" t="s">
        <v>200</v>
      </c>
    </row>
    <row r="19" spans="2:12">
      <c r="B19" s="62">
        <f t="shared" si="0"/>
        <v>13</v>
      </c>
      <c r="C19" s="55" t="s">
        <v>462</v>
      </c>
      <c r="D19" s="56" t="s">
        <v>380</v>
      </c>
      <c r="E19" s="56" t="s">
        <v>67</v>
      </c>
      <c r="F19" s="56" t="s">
        <v>237</v>
      </c>
      <c r="G19" s="56"/>
      <c r="H19" s="56"/>
      <c r="I19" s="56"/>
      <c r="J19" s="56"/>
      <c r="K19" s="56" t="s">
        <v>157</v>
      </c>
      <c r="L19" s="66" t="s">
        <v>158</v>
      </c>
    </row>
    <row r="20" spans="2:12">
      <c r="B20" s="62">
        <f t="shared" si="0"/>
        <v>14</v>
      </c>
      <c r="C20" s="55" t="s">
        <v>463</v>
      </c>
      <c r="D20" s="56" t="s">
        <v>380</v>
      </c>
      <c r="E20" s="56" t="s">
        <v>67</v>
      </c>
      <c r="F20" s="56" t="s">
        <v>237</v>
      </c>
      <c r="G20" s="56"/>
      <c r="H20" s="56"/>
      <c r="I20" s="56"/>
      <c r="J20" s="56"/>
      <c r="K20" s="56" t="s">
        <v>157</v>
      </c>
      <c r="L20" s="66" t="s">
        <v>158</v>
      </c>
    </row>
    <row r="21" spans="2:12">
      <c r="B21" s="62">
        <f t="shared" si="0"/>
        <v>15</v>
      </c>
      <c r="C21" s="55" t="s">
        <v>464</v>
      </c>
      <c r="D21" s="56" t="s">
        <v>380</v>
      </c>
      <c r="E21" s="56" t="s">
        <v>67</v>
      </c>
      <c r="F21" s="56" t="s">
        <v>237</v>
      </c>
      <c r="G21" s="56"/>
      <c r="H21" s="56"/>
      <c r="I21" s="56"/>
      <c r="J21" s="56"/>
      <c r="K21" s="56" t="s">
        <v>157</v>
      </c>
      <c r="L21" s="66" t="s">
        <v>158</v>
      </c>
    </row>
    <row r="22" spans="2:12">
      <c r="B22" s="62">
        <f t="shared" si="0"/>
        <v>16</v>
      </c>
      <c r="C22" s="55" t="s">
        <v>465</v>
      </c>
      <c r="D22" s="56" t="s">
        <v>380</v>
      </c>
      <c r="E22" s="56" t="s">
        <v>67</v>
      </c>
      <c r="F22" s="56" t="s">
        <v>237</v>
      </c>
      <c r="G22" s="56"/>
      <c r="H22" s="56"/>
      <c r="I22" s="56"/>
      <c r="J22" s="56"/>
      <c r="K22" s="56" t="s">
        <v>157</v>
      </c>
      <c r="L22" s="66" t="s">
        <v>158</v>
      </c>
    </row>
    <row r="23" spans="2:12">
      <c r="B23" s="65"/>
      <c r="C23" s="56"/>
      <c r="D23" s="56"/>
      <c r="E23" s="56"/>
      <c r="F23" s="56"/>
      <c r="G23" s="56"/>
      <c r="H23" s="56"/>
      <c r="I23" s="56"/>
      <c r="J23" s="56"/>
      <c r="K23" s="56"/>
      <c r="L23" s="66"/>
    </row>
    <row r="24" spans="2:12">
      <c r="B24" s="65"/>
      <c r="C24" s="56"/>
      <c r="D24" s="56"/>
      <c r="E24" s="56"/>
      <c r="F24" s="56"/>
      <c r="G24" s="56"/>
      <c r="H24" s="56"/>
      <c r="I24" s="56"/>
      <c r="J24" s="56"/>
      <c r="K24" s="56"/>
      <c r="L24" s="66"/>
    </row>
    <row r="25" spans="2:12">
      <c r="B25" s="65"/>
      <c r="C25" s="56"/>
      <c r="D25" s="56"/>
      <c r="E25" s="56"/>
      <c r="F25" s="56"/>
      <c r="G25" s="56"/>
      <c r="H25" s="56"/>
      <c r="I25" s="56"/>
      <c r="J25" s="56"/>
      <c r="K25" s="56"/>
      <c r="L25" s="66"/>
    </row>
    <row r="26" spans="2:12">
      <c r="B26" s="65"/>
      <c r="C26" s="56"/>
      <c r="D26" s="56"/>
      <c r="E26" s="56"/>
      <c r="F26" s="56"/>
      <c r="G26" s="56"/>
      <c r="H26" s="56"/>
      <c r="I26" s="56"/>
      <c r="J26" s="56"/>
      <c r="K26" s="56"/>
      <c r="L26" s="66"/>
    </row>
    <row r="27" spans="2:12">
      <c r="B27" s="65"/>
      <c r="C27" s="56"/>
      <c r="D27" s="56"/>
      <c r="E27" s="56"/>
      <c r="F27" s="56"/>
      <c r="G27" s="56"/>
      <c r="H27" s="56"/>
      <c r="I27" s="56"/>
      <c r="J27" s="56"/>
      <c r="K27" s="56"/>
      <c r="L27" s="66"/>
    </row>
    <row r="28" spans="2:12">
      <c r="B28" s="65"/>
      <c r="C28" s="56"/>
      <c r="D28" s="56"/>
      <c r="E28" s="56"/>
      <c r="F28" s="56"/>
      <c r="G28" s="56"/>
      <c r="H28" s="56"/>
      <c r="I28" s="56"/>
      <c r="J28" s="56"/>
      <c r="K28" s="56"/>
      <c r="L28" s="66"/>
    </row>
    <row r="29" spans="2:12">
      <c r="B29" s="65"/>
      <c r="C29" s="56"/>
      <c r="D29" s="56"/>
      <c r="E29" s="56"/>
      <c r="F29" s="56"/>
      <c r="G29" s="56"/>
      <c r="H29" s="56"/>
      <c r="I29" s="56"/>
      <c r="J29" s="56"/>
      <c r="K29" s="56"/>
      <c r="L29" s="66"/>
    </row>
    <row r="30" spans="2:12">
      <c r="B30" s="65"/>
      <c r="C30" s="56"/>
      <c r="D30" s="56"/>
      <c r="E30" s="56"/>
      <c r="F30" s="56"/>
      <c r="G30" s="56"/>
      <c r="H30" s="56"/>
      <c r="I30" s="56"/>
      <c r="J30" s="56"/>
      <c r="K30" s="56"/>
      <c r="L30" s="66"/>
    </row>
    <row r="31" spans="2:12">
      <c r="B31" s="65"/>
      <c r="C31" s="56"/>
      <c r="D31" s="56"/>
      <c r="E31" s="56"/>
      <c r="F31" s="56"/>
      <c r="G31" s="56"/>
      <c r="H31" s="56"/>
      <c r="I31" s="56"/>
      <c r="J31" s="56"/>
      <c r="K31" s="56"/>
      <c r="L31" s="66"/>
    </row>
    <row r="32" spans="2:12">
      <c r="B32" s="65"/>
      <c r="C32" s="56"/>
      <c r="D32" s="56"/>
      <c r="E32" s="56"/>
      <c r="F32" s="56"/>
      <c r="G32" s="56"/>
      <c r="H32" s="56"/>
      <c r="I32" s="56"/>
      <c r="J32" s="56"/>
      <c r="K32" s="56"/>
      <c r="L32" s="66"/>
    </row>
    <row r="33" spans="2:12">
      <c r="B33" s="65"/>
      <c r="C33" s="56"/>
      <c r="D33" s="56"/>
      <c r="E33" s="56"/>
      <c r="F33" s="56"/>
      <c r="G33" s="56"/>
      <c r="H33" s="56"/>
      <c r="I33" s="56"/>
      <c r="J33" s="56"/>
      <c r="K33" s="56"/>
      <c r="L33" s="66"/>
    </row>
    <row r="34" spans="2:12">
      <c r="B34" s="65"/>
      <c r="C34" s="56"/>
      <c r="D34" s="56"/>
      <c r="E34" s="56"/>
      <c r="F34" s="56"/>
      <c r="G34" s="56"/>
      <c r="H34" s="56"/>
      <c r="I34" s="56"/>
      <c r="J34" s="56"/>
      <c r="K34" s="56"/>
      <c r="L34" s="66"/>
    </row>
    <row r="35" spans="2:12">
      <c r="B35" s="65"/>
      <c r="C35" s="56"/>
      <c r="D35" s="56"/>
      <c r="E35" s="56"/>
      <c r="F35" s="56"/>
      <c r="G35" s="56"/>
      <c r="H35" s="56"/>
      <c r="I35" s="56"/>
      <c r="J35" s="56"/>
      <c r="K35" s="56"/>
      <c r="L35" s="66"/>
    </row>
    <row r="36" spans="2:12">
      <c r="B36" s="65"/>
      <c r="C36" s="56"/>
      <c r="D36" s="56"/>
      <c r="E36" s="56"/>
      <c r="F36" s="56"/>
      <c r="G36" s="56"/>
      <c r="H36" s="56"/>
      <c r="I36" s="56"/>
      <c r="J36" s="56"/>
      <c r="K36" s="56"/>
      <c r="L36" s="66"/>
    </row>
    <row r="37" spans="2:12">
      <c r="B37" s="65"/>
      <c r="C37" s="56"/>
      <c r="D37" s="56"/>
      <c r="E37" s="56"/>
      <c r="F37" s="56"/>
      <c r="G37" s="56"/>
      <c r="H37" s="56"/>
      <c r="I37" s="56"/>
      <c r="J37" s="56"/>
      <c r="K37" s="56"/>
      <c r="L37" s="66"/>
    </row>
    <row r="38" spans="2:12">
      <c r="B38" s="65"/>
      <c r="C38" s="56"/>
      <c r="D38" s="56"/>
      <c r="E38" s="56"/>
      <c r="F38" s="56"/>
      <c r="G38" s="56"/>
      <c r="H38" s="56"/>
      <c r="I38" s="56"/>
      <c r="J38" s="56"/>
      <c r="K38" s="56"/>
      <c r="L38" s="66"/>
    </row>
    <row r="39" spans="2:12">
      <c r="B39" s="65"/>
      <c r="C39" s="56"/>
      <c r="D39" s="56"/>
      <c r="E39" s="56"/>
      <c r="F39" s="56"/>
      <c r="G39" s="56"/>
      <c r="H39" s="56"/>
      <c r="I39" s="56"/>
      <c r="J39" s="56"/>
      <c r="K39" s="56"/>
      <c r="L39" s="66"/>
    </row>
    <row r="40" spans="2:12">
      <c r="B40" s="65"/>
      <c r="C40" s="56"/>
      <c r="D40" s="56"/>
      <c r="E40" s="56"/>
      <c r="F40" s="56"/>
      <c r="G40" s="56"/>
      <c r="H40" s="56"/>
      <c r="I40" s="56"/>
      <c r="J40" s="56"/>
      <c r="K40" s="56"/>
      <c r="L40" s="66"/>
    </row>
    <row r="41" spans="2:12">
      <c r="B41" s="65"/>
      <c r="C41" s="56"/>
      <c r="D41" s="56"/>
      <c r="E41" s="56"/>
      <c r="F41" s="56"/>
      <c r="G41" s="56"/>
      <c r="H41" s="56"/>
      <c r="I41" s="56"/>
      <c r="J41" s="56"/>
      <c r="K41" s="56"/>
      <c r="L41" s="66"/>
    </row>
    <row r="42" spans="2:12">
      <c r="B42" s="65"/>
      <c r="C42" s="56"/>
      <c r="D42" s="56"/>
      <c r="E42" s="56"/>
      <c r="F42" s="56"/>
      <c r="G42" s="56"/>
      <c r="H42" s="56"/>
      <c r="I42" s="56"/>
      <c r="J42" s="56"/>
      <c r="K42" s="56"/>
      <c r="L42" s="66"/>
    </row>
    <row r="43" spans="2:12">
      <c r="B43" s="65"/>
      <c r="C43" s="56"/>
      <c r="D43" s="56"/>
      <c r="E43" s="56"/>
      <c r="F43" s="56"/>
      <c r="G43" s="56"/>
      <c r="H43" s="56"/>
      <c r="I43" s="56"/>
      <c r="J43" s="56"/>
      <c r="K43" s="56"/>
      <c r="L43" s="66"/>
    </row>
    <row r="44" spans="2:12">
      <c r="B44" s="65"/>
      <c r="C44" s="56"/>
      <c r="D44" s="56"/>
      <c r="E44" s="56"/>
      <c r="F44" s="56"/>
      <c r="G44" s="56"/>
      <c r="H44" s="56"/>
      <c r="I44" s="56"/>
      <c r="J44" s="56"/>
      <c r="K44" s="56"/>
      <c r="L44" s="66"/>
    </row>
    <row r="45" spans="2:12" ht="18" thickBot="1">
      <c r="B45" s="68"/>
      <c r="C45" s="57"/>
      <c r="D45" s="57"/>
      <c r="E45" s="57"/>
      <c r="F45" s="57"/>
      <c r="G45" s="57"/>
      <c r="H45" s="57"/>
      <c r="I45" s="57"/>
      <c r="J45" s="57"/>
      <c r="K45" s="57"/>
      <c r="L45" s="70"/>
    </row>
  </sheetData>
  <mergeCells count="1">
    <mergeCell ref="B4:D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713F-EAEB-4222-B52B-C083D53F43D5}">
  <dimension ref="B2:Q55"/>
  <sheetViews>
    <sheetView topLeftCell="E1" zoomScaleNormal="100" workbookViewId="0">
      <selection activeCell="I12" sqref="I12:I15"/>
    </sheetView>
    <sheetView topLeftCell="B1" zoomScale="70" zoomScaleNormal="70" workbookViewId="1">
      <selection activeCell="D10" sqref="D10"/>
    </sheetView>
  </sheetViews>
  <sheetFormatPr defaultRowHeight="17.399999999999999"/>
  <cols>
    <col min="1" max="1" width="8.796875" style="1"/>
    <col min="2" max="2" width="5.59765625" style="1" customWidth="1"/>
    <col min="3" max="3" width="16.69921875" style="1" customWidth="1"/>
    <col min="4" max="4" width="18.8984375" style="1" customWidth="1"/>
    <col min="5" max="5" width="23.5" style="1" customWidth="1"/>
    <col min="6" max="6" width="20" style="1" customWidth="1"/>
    <col min="7" max="8" width="19" style="1" customWidth="1"/>
    <col min="9" max="9" width="22.59765625" style="1" customWidth="1"/>
    <col min="10" max="11" width="15.5" style="1" customWidth="1"/>
    <col min="12" max="12" width="22.69921875" style="1" customWidth="1"/>
    <col min="13" max="13" width="16.19921875" style="1" customWidth="1"/>
    <col min="14" max="15" width="15" style="1" customWidth="1"/>
    <col min="16" max="16" width="17.8984375" style="1" customWidth="1"/>
    <col min="17" max="17" width="36.19921875" style="1" customWidth="1"/>
    <col min="18" max="16384" width="8.796875" style="1"/>
  </cols>
  <sheetData>
    <row r="2" spans="2:17">
      <c r="B2" s="79" t="s">
        <v>0</v>
      </c>
    </row>
    <row r="3" spans="2:17" ht="18" thickBot="1"/>
    <row r="4" spans="2:17" ht="18" thickBot="1">
      <c r="B4" s="58" t="s">
        <v>24</v>
      </c>
      <c r="C4" s="59"/>
      <c r="D4" s="59"/>
      <c r="E4" s="152"/>
    </row>
    <row r="5" spans="2:17" ht="18" thickBot="1"/>
    <row r="6" spans="2:17" ht="33.6" customHeight="1" thickTop="1" thickBot="1">
      <c r="B6" s="10" t="s">
        <v>1</v>
      </c>
      <c r="C6" s="93" t="s">
        <v>475</v>
      </c>
      <c r="D6" s="104" t="s">
        <v>499</v>
      </c>
      <c r="E6" s="94" t="s">
        <v>338</v>
      </c>
      <c r="F6" s="11" t="s">
        <v>25</v>
      </c>
      <c r="G6" s="11" t="s">
        <v>30</v>
      </c>
      <c r="H6" s="11" t="s">
        <v>31</v>
      </c>
      <c r="I6" s="11" t="s">
        <v>32</v>
      </c>
      <c r="J6" s="11" t="s">
        <v>26</v>
      </c>
      <c r="K6" s="11" t="s">
        <v>27</v>
      </c>
      <c r="L6" s="11" t="s">
        <v>28</v>
      </c>
      <c r="M6" s="28" t="s">
        <v>29</v>
      </c>
      <c r="N6" s="28" t="s">
        <v>255</v>
      </c>
      <c r="O6" s="28" t="s">
        <v>304</v>
      </c>
      <c r="P6" s="28" t="s">
        <v>256</v>
      </c>
      <c r="Q6" s="12" t="s">
        <v>253</v>
      </c>
    </row>
    <row r="7" spans="2:17">
      <c r="B7" s="65">
        <f t="shared" ref="B7:B9" si="0">IF(E7&lt;&gt;"",ROW()-6,"")</f>
        <v>1</v>
      </c>
      <c r="C7" s="55" t="s">
        <v>466</v>
      </c>
      <c r="D7" s="55" t="s">
        <v>533</v>
      </c>
      <c r="E7" s="55" t="s">
        <v>262</v>
      </c>
      <c r="F7" s="56" t="s">
        <v>263</v>
      </c>
      <c r="G7" s="55"/>
      <c r="H7" s="55"/>
      <c r="I7" s="55" t="s">
        <v>260</v>
      </c>
      <c r="J7" s="55" t="s">
        <v>245</v>
      </c>
      <c r="K7" s="55" t="s">
        <v>246</v>
      </c>
      <c r="L7" s="87"/>
      <c r="M7" s="84"/>
      <c r="N7" s="88">
        <v>44294</v>
      </c>
      <c r="O7" s="88"/>
      <c r="P7" s="89" t="s">
        <v>257</v>
      </c>
      <c r="Q7" s="64"/>
    </row>
    <row r="8" spans="2:17">
      <c r="B8" s="65">
        <f t="shared" si="0"/>
        <v>2</v>
      </c>
      <c r="C8" s="55" t="s">
        <v>467</v>
      </c>
      <c r="D8" s="55" t="s">
        <v>533</v>
      </c>
      <c r="E8" s="55" t="s">
        <v>262</v>
      </c>
      <c r="F8" s="56" t="s">
        <v>263</v>
      </c>
      <c r="G8" s="55"/>
      <c r="H8" s="55"/>
      <c r="I8" s="55" t="s">
        <v>261</v>
      </c>
      <c r="J8" s="55" t="s">
        <v>245</v>
      </c>
      <c r="K8" s="55" t="s">
        <v>246</v>
      </c>
      <c r="L8" s="87"/>
      <c r="M8" s="84"/>
      <c r="N8" s="88">
        <v>44487</v>
      </c>
      <c r="O8" s="88"/>
      <c r="P8" s="89" t="s">
        <v>257</v>
      </c>
      <c r="Q8" s="64"/>
    </row>
    <row r="9" spans="2:17">
      <c r="B9" s="65">
        <f t="shared" si="0"/>
        <v>3</v>
      </c>
      <c r="C9" s="55" t="s">
        <v>468</v>
      </c>
      <c r="D9" s="55" t="s">
        <v>377</v>
      </c>
      <c r="E9" s="55" t="s">
        <v>201</v>
      </c>
      <c r="F9" s="56" t="s">
        <v>264</v>
      </c>
      <c r="G9" s="55"/>
      <c r="H9" s="55"/>
      <c r="I9" s="55" t="s">
        <v>254</v>
      </c>
      <c r="J9" s="55" t="s">
        <v>245</v>
      </c>
      <c r="K9" s="55" t="s">
        <v>246</v>
      </c>
      <c r="L9" s="87" t="s">
        <v>199</v>
      </c>
      <c r="M9" s="87" t="s">
        <v>199</v>
      </c>
      <c r="N9" s="88">
        <v>44294</v>
      </c>
      <c r="O9" s="88"/>
      <c r="P9" s="89" t="s">
        <v>257</v>
      </c>
      <c r="Q9" s="64"/>
    </row>
    <row r="10" spans="2:17">
      <c r="B10" s="65">
        <f t="shared" ref="B10:B16" si="1">IF(E10&lt;&gt;"",ROW()-6,"")</f>
        <v>4</v>
      </c>
      <c r="C10" s="55" t="s">
        <v>469</v>
      </c>
      <c r="D10" s="55" t="s">
        <v>378</v>
      </c>
      <c r="E10" s="55" t="s">
        <v>133</v>
      </c>
      <c r="F10" s="56" t="s">
        <v>252</v>
      </c>
      <c r="G10" s="55"/>
      <c r="H10" s="55"/>
      <c r="I10" s="55" t="s">
        <v>599</v>
      </c>
      <c r="J10" s="55" t="s">
        <v>245</v>
      </c>
      <c r="K10" s="55" t="s">
        <v>246</v>
      </c>
      <c r="L10" s="87" t="s">
        <v>199</v>
      </c>
      <c r="M10" s="84"/>
      <c r="N10" s="90">
        <v>45642</v>
      </c>
      <c r="O10" s="90"/>
      <c r="P10" s="84" t="s">
        <v>257</v>
      </c>
      <c r="Q10" s="64" t="s">
        <v>258</v>
      </c>
    </row>
    <row r="11" spans="2:17">
      <c r="B11" s="65">
        <f t="shared" ref="B11" si="2">IF(E11&lt;&gt;"",ROW()-6,"")</f>
        <v>5</v>
      </c>
      <c r="C11" s="55" t="s">
        <v>474</v>
      </c>
      <c r="D11" s="56" t="s">
        <v>379</v>
      </c>
      <c r="E11" s="56" t="s">
        <v>288</v>
      </c>
      <c r="F11" s="56" t="s">
        <v>252</v>
      </c>
      <c r="G11" s="56">
        <v>105908</v>
      </c>
      <c r="H11" s="56"/>
      <c r="I11" s="56" t="s">
        <v>244</v>
      </c>
      <c r="J11" s="56" t="s">
        <v>245</v>
      </c>
      <c r="K11" s="56" t="s">
        <v>246</v>
      </c>
      <c r="L11" s="27" t="s">
        <v>200</v>
      </c>
      <c r="M11" s="85" t="s">
        <v>200</v>
      </c>
      <c r="N11" s="91">
        <v>45714</v>
      </c>
      <c r="O11" s="91">
        <v>46402</v>
      </c>
      <c r="P11" s="85" t="s">
        <v>305</v>
      </c>
      <c r="Q11" s="66"/>
    </row>
    <row r="12" spans="2:17">
      <c r="B12" s="65">
        <f t="shared" si="1"/>
        <v>6</v>
      </c>
      <c r="C12" s="55" t="s">
        <v>470</v>
      </c>
      <c r="D12" s="56" t="s">
        <v>380</v>
      </c>
      <c r="E12" s="56" t="s">
        <v>133</v>
      </c>
      <c r="F12" s="56" t="s">
        <v>252</v>
      </c>
      <c r="G12" s="56">
        <v>106131</v>
      </c>
      <c r="H12" s="56">
        <v>3280572</v>
      </c>
      <c r="I12" s="56" t="s">
        <v>240</v>
      </c>
      <c r="J12" s="56" t="s">
        <v>245</v>
      </c>
      <c r="K12" s="56" t="s">
        <v>246</v>
      </c>
      <c r="L12" s="56" t="s">
        <v>248</v>
      </c>
      <c r="M12" s="85" t="s">
        <v>247</v>
      </c>
      <c r="N12" s="91">
        <v>45673</v>
      </c>
      <c r="O12" s="91">
        <v>46402</v>
      </c>
      <c r="P12" s="85" t="s">
        <v>305</v>
      </c>
      <c r="Q12" s="66" t="s">
        <v>259</v>
      </c>
    </row>
    <row r="13" spans="2:17">
      <c r="B13" s="65">
        <f t="shared" si="1"/>
        <v>7</v>
      </c>
      <c r="C13" s="55" t="s">
        <v>471</v>
      </c>
      <c r="D13" s="56" t="s">
        <v>380</v>
      </c>
      <c r="E13" s="56" t="s">
        <v>133</v>
      </c>
      <c r="F13" s="56" t="s">
        <v>252</v>
      </c>
      <c r="G13" s="56">
        <v>106132</v>
      </c>
      <c r="H13" s="56">
        <v>3280573</v>
      </c>
      <c r="I13" s="56" t="s">
        <v>241</v>
      </c>
      <c r="J13" s="56" t="s">
        <v>245</v>
      </c>
      <c r="K13" s="56" t="s">
        <v>246</v>
      </c>
      <c r="L13" s="56" t="s">
        <v>249</v>
      </c>
      <c r="M13" s="85" t="s">
        <v>247</v>
      </c>
      <c r="N13" s="91">
        <v>45673</v>
      </c>
      <c r="O13" s="91">
        <v>46402</v>
      </c>
      <c r="P13" s="85" t="s">
        <v>305</v>
      </c>
      <c r="Q13" s="66" t="s">
        <v>259</v>
      </c>
    </row>
    <row r="14" spans="2:17">
      <c r="B14" s="65">
        <f t="shared" si="1"/>
        <v>8</v>
      </c>
      <c r="C14" s="55" t="s">
        <v>472</v>
      </c>
      <c r="D14" s="56" t="s">
        <v>380</v>
      </c>
      <c r="E14" s="56" t="s">
        <v>133</v>
      </c>
      <c r="F14" s="56" t="s">
        <v>252</v>
      </c>
      <c r="G14" s="56">
        <v>106133</v>
      </c>
      <c r="H14" s="56">
        <v>3280574</v>
      </c>
      <c r="I14" s="56" t="s">
        <v>242</v>
      </c>
      <c r="J14" s="56" t="s">
        <v>245</v>
      </c>
      <c r="K14" s="56" t="s">
        <v>246</v>
      </c>
      <c r="L14" s="56" t="s">
        <v>250</v>
      </c>
      <c r="M14" s="85" t="s">
        <v>247</v>
      </c>
      <c r="N14" s="91">
        <v>45673</v>
      </c>
      <c r="O14" s="91">
        <v>46402</v>
      </c>
      <c r="P14" s="85" t="s">
        <v>305</v>
      </c>
      <c r="Q14" s="66" t="s">
        <v>259</v>
      </c>
    </row>
    <row r="15" spans="2:17">
      <c r="B15" s="65">
        <f t="shared" si="1"/>
        <v>9</v>
      </c>
      <c r="C15" s="55" t="s">
        <v>473</v>
      </c>
      <c r="D15" s="56" t="s">
        <v>380</v>
      </c>
      <c r="E15" s="56" t="s">
        <v>133</v>
      </c>
      <c r="F15" s="56" t="s">
        <v>252</v>
      </c>
      <c r="G15" s="56">
        <v>106134</v>
      </c>
      <c r="H15" s="56">
        <v>3280575</v>
      </c>
      <c r="I15" s="56" t="s">
        <v>243</v>
      </c>
      <c r="J15" s="56" t="s">
        <v>245</v>
      </c>
      <c r="K15" s="56" t="s">
        <v>246</v>
      </c>
      <c r="L15" s="56" t="s">
        <v>251</v>
      </c>
      <c r="M15" s="85" t="s">
        <v>247</v>
      </c>
      <c r="N15" s="91">
        <v>45673</v>
      </c>
      <c r="O15" s="91">
        <v>46402</v>
      </c>
      <c r="P15" s="85" t="s">
        <v>305</v>
      </c>
      <c r="Q15" s="66" t="s">
        <v>259</v>
      </c>
    </row>
    <row r="16" spans="2:17">
      <c r="B16" s="65" t="str">
        <f t="shared" si="1"/>
        <v/>
      </c>
      <c r="C16" s="55"/>
      <c r="D16" s="56"/>
      <c r="E16" s="56"/>
      <c r="F16" s="56"/>
      <c r="G16" s="56"/>
      <c r="H16" s="56"/>
      <c r="I16" s="56"/>
      <c r="J16" s="56"/>
      <c r="K16" s="56"/>
      <c r="L16" s="27"/>
      <c r="M16" s="85"/>
      <c r="N16" s="91"/>
      <c r="O16" s="91"/>
      <c r="P16" s="85"/>
      <c r="Q16" s="66"/>
    </row>
    <row r="17" spans="2:17">
      <c r="B17" s="65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85"/>
      <c r="N17" s="85"/>
      <c r="O17" s="85"/>
      <c r="P17" s="85"/>
      <c r="Q17" s="66"/>
    </row>
    <row r="18" spans="2:17">
      <c r="B18" s="6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85"/>
      <c r="N18" s="85"/>
      <c r="O18" s="85"/>
      <c r="P18" s="85"/>
      <c r="Q18" s="66"/>
    </row>
    <row r="19" spans="2:17">
      <c r="B19" s="65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85"/>
      <c r="N19" s="85"/>
      <c r="O19" s="85"/>
      <c r="P19" s="85"/>
      <c r="Q19" s="66"/>
    </row>
    <row r="20" spans="2:17">
      <c r="B20" s="6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85"/>
      <c r="N20" s="85"/>
      <c r="O20" s="85"/>
      <c r="P20" s="85"/>
      <c r="Q20" s="66"/>
    </row>
    <row r="21" spans="2:17">
      <c r="B21" s="6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85"/>
      <c r="N21" s="85"/>
      <c r="O21" s="85"/>
      <c r="P21" s="85"/>
      <c r="Q21" s="66"/>
    </row>
    <row r="22" spans="2:17">
      <c r="B22" s="6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85"/>
      <c r="N22" s="85"/>
      <c r="O22" s="85"/>
      <c r="P22" s="85"/>
      <c r="Q22" s="66"/>
    </row>
    <row r="23" spans="2:17">
      <c r="B23" s="6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85"/>
      <c r="N23" s="85"/>
      <c r="O23" s="85"/>
      <c r="P23" s="85"/>
      <c r="Q23" s="66"/>
    </row>
    <row r="24" spans="2:17">
      <c r="B24" s="65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85"/>
      <c r="N24" s="85"/>
      <c r="O24" s="85"/>
      <c r="P24" s="85"/>
      <c r="Q24" s="66"/>
    </row>
    <row r="25" spans="2:17">
      <c r="B25" s="6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85"/>
      <c r="N25" s="85"/>
      <c r="O25" s="85"/>
      <c r="P25" s="85"/>
      <c r="Q25" s="66"/>
    </row>
    <row r="26" spans="2:17">
      <c r="B26" s="65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85"/>
      <c r="N26" s="85"/>
      <c r="O26" s="85"/>
      <c r="P26" s="85"/>
      <c r="Q26" s="66"/>
    </row>
    <row r="27" spans="2:17">
      <c r="B27" s="65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85"/>
      <c r="N27" s="85"/>
      <c r="O27" s="85"/>
      <c r="P27" s="85"/>
      <c r="Q27" s="66"/>
    </row>
    <row r="28" spans="2:17">
      <c r="B28" s="6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85"/>
      <c r="N28" s="85"/>
      <c r="O28" s="85"/>
      <c r="P28" s="85"/>
      <c r="Q28" s="66"/>
    </row>
    <row r="29" spans="2:17">
      <c r="B29" s="65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85"/>
      <c r="N29" s="85"/>
      <c r="O29" s="85"/>
      <c r="P29" s="85"/>
      <c r="Q29" s="66"/>
    </row>
    <row r="30" spans="2:17">
      <c r="B30" s="65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85"/>
      <c r="N30" s="85"/>
      <c r="O30" s="85"/>
      <c r="P30" s="85"/>
      <c r="Q30" s="66"/>
    </row>
    <row r="31" spans="2:17">
      <c r="B31" s="65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85"/>
      <c r="N31" s="85"/>
      <c r="O31" s="85"/>
      <c r="P31" s="85"/>
      <c r="Q31" s="66"/>
    </row>
    <row r="32" spans="2:17">
      <c r="B32" s="65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85"/>
      <c r="N32" s="85"/>
      <c r="O32" s="85"/>
      <c r="P32" s="85"/>
      <c r="Q32" s="66"/>
    </row>
    <row r="33" spans="2:17">
      <c r="B33" s="6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85"/>
      <c r="N33" s="85"/>
      <c r="O33" s="85"/>
      <c r="P33" s="85"/>
      <c r="Q33" s="66"/>
    </row>
    <row r="34" spans="2:17">
      <c r="B34" s="6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85"/>
      <c r="N34" s="85"/>
      <c r="O34" s="85"/>
      <c r="P34" s="85"/>
      <c r="Q34" s="66"/>
    </row>
    <row r="35" spans="2:17">
      <c r="B35" s="6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85"/>
      <c r="N35" s="85"/>
      <c r="O35" s="85"/>
      <c r="P35" s="85"/>
      <c r="Q35" s="66"/>
    </row>
    <row r="36" spans="2:17">
      <c r="B36" s="6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85"/>
      <c r="N36" s="85"/>
      <c r="O36" s="85"/>
      <c r="P36" s="85"/>
      <c r="Q36" s="66"/>
    </row>
    <row r="37" spans="2:17">
      <c r="B37" s="6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85"/>
      <c r="N37" s="85"/>
      <c r="O37" s="85"/>
      <c r="P37" s="85"/>
      <c r="Q37" s="66"/>
    </row>
    <row r="38" spans="2:17">
      <c r="B38" s="65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85"/>
      <c r="N38" s="85"/>
      <c r="O38" s="85"/>
      <c r="P38" s="85"/>
      <c r="Q38" s="66"/>
    </row>
    <row r="39" spans="2:17">
      <c r="B39" s="65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85"/>
      <c r="N39" s="85"/>
      <c r="O39" s="85"/>
      <c r="P39" s="85"/>
      <c r="Q39" s="66"/>
    </row>
    <row r="40" spans="2:17">
      <c r="B40" s="65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85"/>
      <c r="N40" s="85"/>
      <c r="O40" s="85"/>
      <c r="P40" s="85"/>
      <c r="Q40" s="66"/>
    </row>
    <row r="41" spans="2:17">
      <c r="B41" s="65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85"/>
      <c r="N41" s="85"/>
      <c r="O41" s="85"/>
      <c r="P41" s="85"/>
      <c r="Q41" s="66"/>
    </row>
    <row r="42" spans="2:17">
      <c r="B42" s="65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85"/>
      <c r="N42" s="85"/>
      <c r="O42" s="85"/>
      <c r="P42" s="85"/>
      <c r="Q42" s="66"/>
    </row>
    <row r="43" spans="2:17">
      <c r="B43" s="65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85"/>
      <c r="N43" s="85"/>
      <c r="O43" s="85"/>
      <c r="P43" s="85"/>
      <c r="Q43" s="66"/>
    </row>
    <row r="44" spans="2:17">
      <c r="B44" s="6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85"/>
      <c r="N44" s="85"/>
      <c r="O44" s="85"/>
      <c r="P44" s="85"/>
      <c r="Q44" s="66"/>
    </row>
    <row r="45" spans="2:17">
      <c r="B45" s="6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85"/>
      <c r="N45" s="85"/>
      <c r="O45" s="85"/>
      <c r="P45" s="85"/>
      <c r="Q45" s="66"/>
    </row>
    <row r="46" spans="2:17">
      <c r="B46" s="6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85"/>
      <c r="N46" s="85"/>
      <c r="O46" s="85"/>
      <c r="P46" s="85"/>
      <c r="Q46" s="66"/>
    </row>
    <row r="47" spans="2:17">
      <c r="B47" s="6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85"/>
      <c r="N47" s="85"/>
      <c r="O47" s="85"/>
      <c r="P47" s="85"/>
      <c r="Q47" s="66"/>
    </row>
    <row r="48" spans="2:17">
      <c r="B48" s="65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85"/>
      <c r="N48" s="85"/>
      <c r="O48" s="85"/>
      <c r="P48" s="85"/>
      <c r="Q48" s="66"/>
    </row>
    <row r="49" spans="2:17">
      <c r="B49" s="65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85"/>
      <c r="N49" s="85"/>
      <c r="O49" s="85"/>
      <c r="P49" s="85"/>
      <c r="Q49" s="66"/>
    </row>
    <row r="50" spans="2:17">
      <c r="B50" s="65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85"/>
      <c r="N50" s="85"/>
      <c r="O50" s="85"/>
      <c r="P50" s="85"/>
      <c r="Q50" s="66"/>
    </row>
    <row r="51" spans="2:17">
      <c r="B51" s="65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85"/>
      <c r="N51" s="85"/>
      <c r="O51" s="85"/>
      <c r="P51" s="85"/>
      <c r="Q51" s="66"/>
    </row>
    <row r="52" spans="2:17">
      <c r="B52" s="65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85"/>
      <c r="N52" s="85"/>
      <c r="O52" s="85"/>
      <c r="P52" s="85"/>
      <c r="Q52" s="66"/>
    </row>
    <row r="53" spans="2:17">
      <c r="B53" s="65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85"/>
      <c r="N53" s="85"/>
      <c r="O53" s="85"/>
      <c r="P53" s="85"/>
      <c r="Q53" s="66"/>
    </row>
    <row r="54" spans="2:17">
      <c r="B54" s="65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85"/>
      <c r="N54" s="85"/>
      <c r="O54" s="85"/>
      <c r="P54" s="85"/>
      <c r="Q54" s="66"/>
    </row>
    <row r="55" spans="2:17" ht="18" thickBot="1">
      <c r="B55" s="68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86"/>
      <c r="N55" s="86"/>
      <c r="O55" s="86"/>
      <c r="P55" s="86"/>
      <c r="Q55" s="70"/>
    </row>
  </sheetData>
  <mergeCells count="1">
    <mergeCell ref="B4:D4"/>
  </mergeCells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FF7E-7073-408B-8420-E102764683B7}">
  <dimension ref="B2:H51"/>
  <sheetViews>
    <sheetView zoomScale="115" zoomScaleNormal="115" workbookViewId="0">
      <selection activeCell="G9" sqref="G9"/>
    </sheetView>
    <sheetView zoomScale="85" zoomScaleNormal="85" workbookViewId="1">
      <selection activeCell="G3" sqref="G3"/>
    </sheetView>
  </sheetViews>
  <sheetFormatPr defaultRowHeight="17.399999999999999"/>
  <cols>
    <col min="1" max="1" width="8.796875" style="1"/>
    <col min="2" max="2" width="5.59765625" style="1" customWidth="1"/>
    <col min="3" max="3" width="17.796875" style="1" customWidth="1"/>
    <col min="4" max="4" width="17.69921875" style="1" customWidth="1"/>
    <col min="5" max="5" width="20.19921875" style="1" bestFit="1" customWidth="1"/>
    <col min="6" max="6" width="13.59765625" style="1" customWidth="1"/>
    <col min="7" max="7" width="25" style="123" customWidth="1"/>
    <col min="8" max="8" width="18.8984375" style="1" customWidth="1"/>
    <col min="9" max="16384" width="8.796875" style="1"/>
  </cols>
  <sheetData>
    <row r="2" spans="2:8">
      <c r="B2" s="79" t="s">
        <v>0</v>
      </c>
    </row>
    <row r="3" spans="2:8" ht="18" thickBot="1"/>
    <row r="4" spans="2:8" ht="18" thickBot="1">
      <c r="B4" s="58" t="s">
        <v>42</v>
      </c>
      <c r="C4" s="59"/>
      <c r="D4" s="59"/>
      <c r="E4" s="152"/>
    </row>
    <row r="5" spans="2:8" ht="18" thickBot="1"/>
    <row r="6" spans="2:8" ht="33.6" customHeight="1" thickTop="1" thickBot="1">
      <c r="B6" s="10" t="s">
        <v>1</v>
      </c>
      <c r="C6" s="95" t="s">
        <v>43</v>
      </c>
      <c r="D6" s="104" t="s">
        <v>499</v>
      </c>
      <c r="E6" s="94" t="s">
        <v>560</v>
      </c>
      <c r="F6" s="11" t="s">
        <v>37</v>
      </c>
      <c r="G6" s="42" t="s">
        <v>38</v>
      </c>
      <c r="H6" s="12" t="s">
        <v>44</v>
      </c>
    </row>
    <row r="7" spans="2:8">
      <c r="B7" s="62">
        <f>IF(E7&lt;&gt;"",ROW()-6,"")</f>
        <v>1</v>
      </c>
      <c r="C7" s="55" t="s">
        <v>536</v>
      </c>
      <c r="D7" s="55" t="s">
        <v>534</v>
      </c>
      <c r="E7" s="55" t="s">
        <v>278</v>
      </c>
      <c r="F7" s="55" t="s">
        <v>279</v>
      </c>
      <c r="G7" s="124" t="s">
        <v>280</v>
      </c>
      <c r="H7" s="64"/>
    </row>
    <row r="8" spans="2:8">
      <c r="B8" s="65">
        <f t="shared" ref="B8:B19" si="0">IF(E8&lt;&gt;"",ROW()-6,"")</f>
        <v>2</v>
      </c>
      <c r="C8" s="55" t="s">
        <v>537</v>
      </c>
      <c r="D8" s="55" t="s">
        <v>365</v>
      </c>
      <c r="E8" s="56" t="s">
        <v>115</v>
      </c>
      <c r="F8" s="56" t="s">
        <v>277</v>
      </c>
      <c r="G8" s="113" t="s">
        <v>276</v>
      </c>
      <c r="H8" s="66"/>
    </row>
    <row r="9" spans="2:8">
      <c r="B9" s="65">
        <f t="shared" si="0"/>
        <v>3</v>
      </c>
      <c r="C9" s="55" t="s">
        <v>538</v>
      </c>
      <c r="D9" s="55" t="s">
        <v>377</v>
      </c>
      <c r="E9" s="56" t="s">
        <v>201</v>
      </c>
      <c r="F9" s="56" t="s">
        <v>281</v>
      </c>
      <c r="G9" s="113">
        <v>1218110385</v>
      </c>
      <c r="H9" s="66"/>
    </row>
    <row r="10" spans="2:8">
      <c r="B10" s="65">
        <f t="shared" si="0"/>
        <v>4</v>
      </c>
      <c r="C10" s="55" t="s">
        <v>539</v>
      </c>
      <c r="D10" s="55" t="s">
        <v>376</v>
      </c>
      <c r="E10" s="56" t="s">
        <v>117</v>
      </c>
      <c r="F10" s="56" t="s">
        <v>282</v>
      </c>
      <c r="G10" s="113" t="s">
        <v>283</v>
      </c>
      <c r="H10" s="66"/>
    </row>
    <row r="11" spans="2:8">
      <c r="B11" s="65">
        <f t="shared" si="0"/>
        <v>5</v>
      </c>
      <c r="C11" s="55" t="s">
        <v>540</v>
      </c>
      <c r="D11" s="55" t="s">
        <v>372</v>
      </c>
      <c r="E11" s="56" t="s">
        <v>116</v>
      </c>
      <c r="F11" s="56" t="s">
        <v>285</v>
      </c>
      <c r="G11" s="113" t="s">
        <v>286</v>
      </c>
      <c r="H11" s="66"/>
    </row>
    <row r="12" spans="2:8">
      <c r="B12" s="65">
        <f t="shared" si="0"/>
        <v>6</v>
      </c>
      <c r="C12" s="55" t="s">
        <v>541</v>
      </c>
      <c r="D12" s="55" t="s">
        <v>379</v>
      </c>
      <c r="E12" s="56" t="s">
        <v>288</v>
      </c>
      <c r="F12" s="56" t="s">
        <v>289</v>
      </c>
      <c r="G12" s="113" t="s">
        <v>287</v>
      </c>
      <c r="H12" s="66"/>
    </row>
    <row r="13" spans="2:8">
      <c r="B13" s="65">
        <f t="shared" si="0"/>
        <v>7</v>
      </c>
      <c r="C13" s="55" t="s">
        <v>542</v>
      </c>
      <c r="D13" s="55" t="s">
        <v>367</v>
      </c>
      <c r="E13" s="56" t="s">
        <v>136</v>
      </c>
      <c r="F13" s="56" t="s">
        <v>290</v>
      </c>
      <c r="G13" s="113" t="s">
        <v>291</v>
      </c>
      <c r="H13" s="66"/>
    </row>
    <row r="14" spans="2:8">
      <c r="B14" s="65">
        <f t="shared" si="0"/>
        <v>8</v>
      </c>
      <c r="C14" s="55" t="s">
        <v>543</v>
      </c>
      <c r="D14" s="55" t="s">
        <v>367</v>
      </c>
      <c r="E14" s="56" t="s">
        <v>128</v>
      </c>
      <c r="F14" s="56" t="s">
        <v>293</v>
      </c>
      <c r="G14" s="113" t="s">
        <v>292</v>
      </c>
      <c r="H14" s="66"/>
    </row>
    <row r="15" spans="2:8">
      <c r="B15" s="65">
        <f t="shared" si="0"/>
        <v>9</v>
      </c>
      <c r="C15" s="55" t="s">
        <v>544</v>
      </c>
      <c r="D15" s="55" t="s">
        <v>374</v>
      </c>
      <c r="E15" s="56" t="s">
        <v>230</v>
      </c>
      <c r="F15" s="56" t="s">
        <v>295</v>
      </c>
      <c r="G15" s="113" t="s">
        <v>294</v>
      </c>
      <c r="H15" s="66"/>
    </row>
    <row r="16" spans="2:8">
      <c r="B16" s="65">
        <f t="shared" si="0"/>
        <v>10</v>
      </c>
      <c r="C16" s="55" t="s">
        <v>545</v>
      </c>
      <c r="D16" s="55" t="s">
        <v>378</v>
      </c>
      <c r="E16" s="56" t="s">
        <v>67</v>
      </c>
      <c r="F16" s="56" t="s">
        <v>296</v>
      </c>
      <c r="G16" s="113" t="s">
        <v>297</v>
      </c>
      <c r="H16" s="66" t="s">
        <v>301</v>
      </c>
    </row>
    <row r="17" spans="2:8">
      <c r="B17" s="65">
        <f t="shared" si="0"/>
        <v>11</v>
      </c>
      <c r="C17" s="55" t="s">
        <v>546</v>
      </c>
      <c r="D17" s="55" t="s">
        <v>380</v>
      </c>
      <c r="E17" s="56" t="s">
        <v>67</v>
      </c>
      <c r="F17" s="56" t="s">
        <v>298</v>
      </c>
      <c r="G17" s="113" t="s">
        <v>297</v>
      </c>
      <c r="H17" s="66" t="s">
        <v>302</v>
      </c>
    </row>
    <row r="18" spans="2:8">
      <c r="B18" s="65">
        <f t="shared" si="0"/>
        <v>12</v>
      </c>
      <c r="C18" s="55" t="s">
        <v>547</v>
      </c>
      <c r="D18" s="55" t="s">
        <v>380</v>
      </c>
      <c r="E18" s="56" t="s">
        <v>67</v>
      </c>
      <c r="F18" s="56" t="s">
        <v>300</v>
      </c>
      <c r="G18" s="113" t="s">
        <v>299</v>
      </c>
      <c r="H18" s="66" t="s">
        <v>303</v>
      </c>
    </row>
    <row r="19" spans="2:8">
      <c r="B19" s="65">
        <f t="shared" si="0"/>
        <v>13</v>
      </c>
      <c r="C19" s="55" t="s">
        <v>548</v>
      </c>
      <c r="D19" s="56" t="s">
        <v>375</v>
      </c>
      <c r="E19" s="56" t="s">
        <v>147</v>
      </c>
      <c r="F19" s="56" t="s">
        <v>347</v>
      </c>
      <c r="G19" s="113" t="s">
        <v>346</v>
      </c>
      <c r="H19" s="66"/>
    </row>
    <row r="20" spans="2:8">
      <c r="B20" s="65"/>
      <c r="C20" s="56"/>
      <c r="D20" s="56"/>
      <c r="E20" s="56"/>
      <c r="F20" s="56"/>
      <c r="G20" s="113"/>
      <c r="H20" s="66"/>
    </row>
    <row r="21" spans="2:8">
      <c r="B21" s="65"/>
      <c r="C21" s="56"/>
      <c r="D21" s="56"/>
      <c r="E21" s="56"/>
      <c r="F21" s="56"/>
      <c r="G21" s="113"/>
      <c r="H21" s="66"/>
    </row>
    <row r="22" spans="2:8">
      <c r="B22" s="65"/>
      <c r="C22" s="56"/>
      <c r="D22" s="56"/>
      <c r="E22" s="56"/>
      <c r="F22" s="56"/>
      <c r="G22" s="113"/>
      <c r="H22" s="66"/>
    </row>
    <row r="23" spans="2:8">
      <c r="B23" s="65"/>
      <c r="C23" s="56"/>
      <c r="D23" s="56"/>
      <c r="E23" s="56"/>
      <c r="F23" s="56"/>
      <c r="G23" s="113"/>
      <c r="H23" s="66"/>
    </row>
    <row r="24" spans="2:8">
      <c r="B24" s="65"/>
      <c r="C24" s="56"/>
      <c r="D24" s="56"/>
      <c r="E24" s="56"/>
      <c r="F24" s="56"/>
      <c r="G24" s="113"/>
      <c r="H24" s="66"/>
    </row>
    <row r="25" spans="2:8">
      <c r="B25" s="65"/>
      <c r="C25" s="56"/>
      <c r="D25" s="56"/>
      <c r="E25" s="56"/>
      <c r="F25" s="56"/>
      <c r="G25" s="113"/>
      <c r="H25" s="66"/>
    </row>
    <row r="26" spans="2:8">
      <c r="B26" s="65"/>
      <c r="C26" s="56"/>
      <c r="D26" s="56"/>
      <c r="E26" s="56"/>
      <c r="F26" s="56"/>
      <c r="G26" s="113"/>
      <c r="H26" s="66"/>
    </row>
    <row r="27" spans="2:8">
      <c r="B27" s="65"/>
      <c r="C27" s="56"/>
      <c r="D27" s="56"/>
      <c r="E27" s="56"/>
      <c r="F27" s="56"/>
      <c r="G27" s="113"/>
      <c r="H27" s="66"/>
    </row>
    <row r="28" spans="2:8">
      <c r="B28" s="65"/>
      <c r="C28" s="56"/>
      <c r="D28" s="56"/>
      <c r="E28" s="56"/>
      <c r="F28" s="56"/>
      <c r="G28" s="113"/>
      <c r="H28" s="66"/>
    </row>
    <row r="29" spans="2:8">
      <c r="B29" s="65"/>
      <c r="C29" s="56"/>
      <c r="D29" s="56"/>
      <c r="E29" s="56"/>
      <c r="F29" s="56"/>
      <c r="G29" s="113"/>
      <c r="H29" s="66"/>
    </row>
    <row r="30" spans="2:8">
      <c r="B30" s="65"/>
      <c r="C30" s="56"/>
      <c r="D30" s="56"/>
      <c r="E30" s="56"/>
      <c r="F30" s="56"/>
      <c r="G30" s="113"/>
      <c r="H30" s="66"/>
    </row>
    <row r="31" spans="2:8">
      <c r="B31" s="65"/>
      <c r="C31" s="56"/>
      <c r="D31" s="56"/>
      <c r="E31" s="56"/>
      <c r="F31" s="56"/>
      <c r="G31" s="113"/>
      <c r="H31" s="66"/>
    </row>
    <row r="32" spans="2:8">
      <c r="B32" s="65"/>
      <c r="C32" s="56"/>
      <c r="D32" s="56"/>
      <c r="E32" s="56"/>
      <c r="F32" s="56"/>
      <c r="G32" s="113"/>
      <c r="H32" s="66"/>
    </row>
    <row r="33" spans="2:8">
      <c r="B33" s="65"/>
      <c r="C33" s="56"/>
      <c r="D33" s="56"/>
      <c r="E33" s="56"/>
      <c r="F33" s="56"/>
      <c r="G33" s="113"/>
      <c r="H33" s="66"/>
    </row>
    <row r="34" spans="2:8">
      <c r="B34" s="65"/>
      <c r="C34" s="56"/>
      <c r="D34" s="56"/>
      <c r="E34" s="56"/>
      <c r="F34" s="56"/>
      <c r="G34" s="113"/>
      <c r="H34" s="66"/>
    </row>
    <row r="35" spans="2:8">
      <c r="B35" s="65"/>
      <c r="C35" s="56"/>
      <c r="D35" s="56"/>
      <c r="E35" s="56"/>
      <c r="F35" s="56"/>
      <c r="G35" s="113"/>
      <c r="H35" s="66"/>
    </row>
    <row r="36" spans="2:8">
      <c r="B36" s="65"/>
      <c r="C36" s="56"/>
      <c r="D36" s="56"/>
      <c r="E36" s="56"/>
      <c r="F36" s="56"/>
      <c r="G36" s="113"/>
      <c r="H36" s="66"/>
    </row>
    <row r="37" spans="2:8">
      <c r="B37" s="65"/>
      <c r="C37" s="56"/>
      <c r="D37" s="56"/>
      <c r="E37" s="56"/>
      <c r="F37" s="56"/>
      <c r="G37" s="113"/>
      <c r="H37" s="66"/>
    </row>
    <row r="38" spans="2:8">
      <c r="B38" s="65"/>
      <c r="C38" s="56"/>
      <c r="D38" s="56"/>
      <c r="E38" s="56"/>
      <c r="F38" s="56"/>
      <c r="G38" s="113"/>
      <c r="H38" s="66"/>
    </row>
    <row r="39" spans="2:8">
      <c r="B39" s="65"/>
      <c r="C39" s="56"/>
      <c r="D39" s="56"/>
      <c r="E39" s="56"/>
      <c r="F39" s="56"/>
      <c r="G39" s="113"/>
      <c r="H39" s="66"/>
    </row>
    <row r="40" spans="2:8">
      <c r="B40" s="65"/>
      <c r="C40" s="56"/>
      <c r="D40" s="56"/>
      <c r="E40" s="56"/>
      <c r="F40" s="56"/>
      <c r="G40" s="113"/>
      <c r="H40" s="66"/>
    </row>
    <row r="41" spans="2:8">
      <c r="B41" s="65"/>
      <c r="C41" s="56"/>
      <c r="D41" s="56"/>
      <c r="E41" s="56"/>
      <c r="F41" s="56"/>
      <c r="G41" s="113"/>
      <c r="H41" s="66"/>
    </row>
    <row r="42" spans="2:8">
      <c r="B42" s="65"/>
      <c r="C42" s="56"/>
      <c r="D42" s="56"/>
      <c r="E42" s="56"/>
      <c r="F42" s="56"/>
      <c r="G42" s="113"/>
      <c r="H42" s="66"/>
    </row>
    <row r="43" spans="2:8">
      <c r="B43" s="65"/>
      <c r="C43" s="56"/>
      <c r="D43" s="56"/>
      <c r="E43" s="56"/>
      <c r="F43" s="56"/>
      <c r="G43" s="113"/>
      <c r="H43" s="66"/>
    </row>
    <row r="44" spans="2:8">
      <c r="B44" s="65"/>
      <c r="C44" s="56"/>
      <c r="D44" s="56"/>
      <c r="E44" s="56"/>
      <c r="F44" s="56"/>
      <c r="G44" s="113"/>
      <c r="H44" s="66"/>
    </row>
    <row r="45" spans="2:8">
      <c r="B45" s="65"/>
      <c r="C45" s="56"/>
      <c r="D45" s="56"/>
      <c r="E45" s="56"/>
      <c r="F45" s="56"/>
      <c r="G45" s="113"/>
      <c r="H45" s="66"/>
    </row>
    <row r="46" spans="2:8">
      <c r="B46" s="65"/>
      <c r="C46" s="56"/>
      <c r="D46" s="56"/>
      <c r="E46" s="56"/>
      <c r="F46" s="56"/>
      <c r="G46" s="113"/>
      <c r="H46" s="66"/>
    </row>
    <row r="47" spans="2:8">
      <c r="B47" s="65"/>
      <c r="C47" s="56"/>
      <c r="D47" s="56"/>
      <c r="E47" s="56"/>
      <c r="F47" s="56"/>
      <c r="G47" s="113"/>
      <c r="H47" s="66"/>
    </row>
    <row r="48" spans="2:8">
      <c r="B48" s="65"/>
      <c r="C48" s="56"/>
      <c r="D48" s="56"/>
      <c r="E48" s="56"/>
      <c r="F48" s="56"/>
      <c r="G48" s="113"/>
      <c r="H48" s="66"/>
    </row>
    <row r="49" spans="2:8">
      <c r="B49" s="65"/>
      <c r="C49" s="56"/>
      <c r="D49" s="56"/>
      <c r="E49" s="56"/>
      <c r="F49" s="56"/>
      <c r="G49" s="113"/>
      <c r="H49" s="66"/>
    </row>
    <row r="50" spans="2:8">
      <c r="B50" s="65"/>
      <c r="C50" s="56"/>
      <c r="D50" s="56"/>
      <c r="E50" s="56"/>
      <c r="F50" s="56"/>
      <c r="G50" s="113"/>
      <c r="H50" s="66"/>
    </row>
    <row r="51" spans="2:8" ht="18" thickBot="1">
      <c r="B51" s="68"/>
      <c r="C51" s="57"/>
      <c r="D51" s="57"/>
      <c r="E51" s="57"/>
      <c r="F51" s="57"/>
      <c r="G51" s="125"/>
      <c r="H51" s="70"/>
    </row>
  </sheetData>
  <mergeCells count="1">
    <mergeCell ref="B4:D4"/>
  </mergeCells>
  <phoneticPr fontId="1" type="noConversion"/>
  <pageMargins left="0.7" right="0.7" top="0.75" bottom="0.75" header="0.3" footer="0.3"/>
  <ignoredErrors>
    <ignoredError sqref="G8 G10:G19" numberStoredAsText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93C1-28F1-419E-B369-840C86880E96}">
  <dimension ref="B2:AA51"/>
  <sheetViews>
    <sheetView zoomScale="70" zoomScaleNormal="70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E39" sqref="E39:E43"/>
    </sheetView>
    <sheetView zoomScale="25" zoomScaleNormal="25" workbookViewId="1">
      <selection activeCell="Y13" sqref="Y13"/>
    </sheetView>
  </sheetViews>
  <sheetFormatPr defaultRowHeight="17.399999999999999"/>
  <cols>
    <col min="1" max="1" width="8.796875" style="1"/>
    <col min="2" max="2" width="5.59765625" style="1" customWidth="1"/>
    <col min="3" max="3" width="13.19921875" style="1" customWidth="1"/>
    <col min="4" max="4" width="23.59765625" style="1" customWidth="1"/>
    <col min="5" max="5" width="19.69921875" style="1" customWidth="1"/>
    <col min="6" max="7" width="26.5" style="1" customWidth="1"/>
    <col min="8" max="8" width="21.5" style="1" customWidth="1"/>
    <col min="9" max="10" width="13.09765625" style="1" customWidth="1"/>
    <col min="11" max="11" width="31.5" style="1" customWidth="1"/>
    <col min="12" max="12" width="26.5" style="1" customWidth="1"/>
    <col min="13" max="13" width="16.19921875" style="1" customWidth="1"/>
    <col min="14" max="14" width="45.19921875" style="1" customWidth="1"/>
    <col min="15" max="16" width="16.19921875" style="1" customWidth="1"/>
    <col min="17" max="18" width="8.796875" style="1"/>
    <col min="19" max="19" width="5.59765625" style="1" customWidth="1"/>
    <col min="20" max="20" width="20.09765625" style="1" customWidth="1"/>
    <col min="21" max="21" width="24.69921875" style="1" customWidth="1"/>
    <col min="22" max="23" width="8.796875" style="1"/>
    <col min="24" max="24" width="5.59765625" style="1" customWidth="1"/>
    <col min="25" max="25" width="21.59765625" style="1" customWidth="1"/>
    <col min="26" max="26" width="20.09765625" style="1" customWidth="1"/>
    <col min="27" max="27" width="20" style="1" customWidth="1"/>
    <col min="28" max="16384" width="8.796875" style="1"/>
  </cols>
  <sheetData>
    <row r="2" spans="2:27">
      <c r="B2" s="79" t="s">
        <v>0</v>
      </c>
      <c r="G2" s="116"/>
      <c r="S2" s="79" t="s">
        <v>0</v>
      </c>
      <c r="X2" s="79" t="s">
        <v>500</v>
      </c>
    </row>
    <row r="3" spans="2:27" ht="18" thickBot="1"/>
    <row r="4" spans="2:27" ht="18" thickBot="1">
      <c r="B4" s="77" t="s">
        <v>11</v>
      </c>
      <c r="C4" s="78"/>
      <c r="D4" s="78"/>
      <c r="E4" s="154"/>
      <c r="S4" s="58" t="s">
        <v>190</v>
      </c>
      <c r="T4" s="60"/>
      <c r="X4" s="58" t="s">
        <v>190</v>
      </c>
      <c r="Y4" s="59"/>
      <c r="Z4" s="60"/>
    </row>
    <row r="5" spans="2:27" ht="18" thickBot="1"/>
    <row r="6" spans="2:27" ht="43.2" customHeight="1" thickTop="1" thickBot="1">
      <c r="B6" s="105" t="s">
        <v>1</v>
      </c>
      <c r="C6" s="93" t="s">
        <v>448</v>
      </c>
      <c r="D6" s="104" t="s">
        <v>499</v>
      </c>
      <c r="E6" s="106" t="s">
        <v>12</v>
      </c>
      <c r="F6" s="94" t="s">
        <v>3</v>
      </c>
      <c r="G6" s="94" t="s">
        <v>338</v>
      </c>
      <c r="H6" s="107" t="s">
        <v>13</v>
      </c>
      <c r="I6" s="107" t="s">
        <v>14</v>
      </c>
      <c r="J6" s="107" t="s">
        <v>15</v>
      </c>
      <c r="K6" s="106" t="s">
        <v>515</v>
      </c>
      <c r="L6" s="106" t="s">
        <v>18</v>
      </c>
      <c r="M6" s="106" t="s">
        <v>19</v>
      </c>
      <c r="N6" s="117" t="s">
        <v>364</v>
      </c>
      <c r="O6" s="108" t="s">
        <v>16</v>
      </c>
      <c r="P6" s="120" t="s">
        <v>17</v>
      </c>
      <c r="S6" s="10" t="s">
        <v>1</v>
      </c>
      <c r="T6" s="11" t="s">
        <v>12</v>
      </c>
      <c r="U6" s="11" t="s">
        <v>15</v>
      </c>
      <c r="X6" s="109" t="s">
        <v>1</v>
      </c>
      <c r="Y6" s="107" t="s">
        <v>13</v>
      </c>
      <c r="Z6" s="107" t="s">
        <v>14</v>
      </c>
      <c r="AA6" s="107" t="s">
        <v>15</v>
      </c>
    </row>
    <row r="7" spans="2:27" ht="34.200000000000003" customHeight="1">
      <c r="B7" s="62">
        <f>IF(E7&lt;&gt;"",ROW()-6,"")</f>
        <v>1</v>
      </c>
      <c r="C7" s="55" t="s">
        <v>403</v>
      </c>
      <c r="D7" s="55" t="s">
        <v>374</v>
      </c>
      <c r="E7" s="55" t="s">
        <v>311</v>
      </c>
      <c r="F7" s="55" t="s">
        <v>329</v>
      </c>
      <c r="G7" s="55" t="s">
        <v>230</v>
      </c>
      <c r="H7" s="55" t="s">
        <v>155</v>
      </c>
      <c r="I7" s="55" t="s">
        <v>156</v>
      </c>
      <c r="J7" s="55"/>
      <c r="K7" s="55"/>
      <c r="L7" s="55"/>
      <c r="M7" s="80">
        <v>45306</v>
      </c>
      <c r="N7" s="118" t="s">
        <v>159</v>
      </c>
      <c r="O7" s="55" t="s">
        <v>157</v>
      </c>
      <c r="P7" s="64" t="s">
        <v>158</v>
      </c>
      <c r="S7" s="62">
        <f>ROW()-6</f>
        <v>1</v>
      </c>
      <c r="T7" s="55" t="s">
        <v>311</v>
      </c>
      <c r="U7" s="55" t="s">
        <v>508</v>
      </c>
      <c r="X7" s="62">
        <f>ROW()-6</f>
        <v>1</v>
      </c>
      <c r="Y7" s="55" t="s">
        <v>504</v>
      </c>
      <c r="Z7" s="55" t="s">
        <v>197</v>
      </c>
      <c r="AA7" s="55" t="s">
        <v>508</v>
      </c>
    </row>
    <row r="8" spans="2:27" ht="34.200000000000003" customHeight="1">
      <c r="B8" s="65">
        <f t="shared" ref="B8:B50" si="0">IF(E8&lt;&gt;"",ROW()-6,"")</f>
        <v>2</v>
      </c>
      <c r="C8" s="55" t="s">
        <v>404</v>
      </c>
      <c r="D8" s="55" t="s">
        <v>374</v>
      </c>
      <c r="E8" s="56" t="s">
        <v>160</v>
      </c>
      <c r="F8" s="56" t="s">
        <v>329</v>
      </c>
      <c r="G8" s="56" t="s">
        <v>230</v>
      </c>
      <c r="H8" s="56" t="s">
        <v>161</v>
      </c>
      <c r="I8" s="56" t="s">
        <v>156</v>
      </c>
      <c r="J8" s="56"/>
      <c r="K8" s="56"/>
      <c r="L8" s="56"/>
      <c r="M8" s="81">
        <v>45306</v>
      </c>
      <c r="N8" s="85" t="s">
        <v>162</v>
      </c>
      <c r="O8" s="56" t="s">
        <v>157</v>
      </c>
      <c r="P8" s="66" t="s">
        <v>158</v>
      </c>
      <c r="S8" s="62">
        <f t="shared" ref="S8:S13" si="1">ROW()-6</f>
        <v>2</v>
      </c>
      <c r="T8" s="55" t="s">
        <v>311</v>
      </c>
      <c r="U8" s="56" t="s">
        <v>312</v>
      </c>
      <c r="X8" s="65">
        <v>2</v>
      </c>
      <c r="Y8" s="56" t="s">
        <v>505</v>
      </c>
      <c r="Z8" s="56" t="s">
        <v>501</v>
      </c>
      <c r="AA8" s="56" t="s">
        <v>509</v>
      </c>
    </row>
    <row r="9" spans="2:27" ht="34.200000000000003" customHeight="1">
      <c r="B9" s="65">
        <f t="shared" si="0"/>
        <v>3</v>
      </c>
      <c r="C9" s="55" t="s">
        <v>405</v>
      </c>
      <c r="D9" s="55" t="s">
        <v>374</v>
      </c>
      <c r="E9" s="56" t="s">
        <v>163</v>
      </c>
      <c r="F9" s="56" t="s">
        <v>329</v>
      </c>
      <c r="G9" s="56" t="s">
        <v>230</v>
      </c>
      <c r="H9" s="56" t="s">
        <v>161</v>
      </c>
      <c r="I9" s="56" t="s">
        <v>156</v>
      </c>
      <c r="J9" s="56"/>
      <c r="K9" s="56"/>
      <c r="L9" s="56" t="s">
        <v>306</v>
      </c>
      <c r="M9" s="81">
        <v>45306</v>
      </c>
      <c r="N9" s="85" t="s">
        <v>162</v>
      </c>
      <c r="O9" s="56" t="s">
        <v>157</v>
      </c>
      <c r="P9" s="66" t="s">
        <v>158</v>
      </c>
      <c r="S9" s="62">
        <f t="shared" si="1"/>
        <v>3</v>
      </c>
      <c r="T9" s="55" t="s">
        <v>311</v>
      </c>
      <c r="U9" s="56" t="s">
        <v>513</v>
      </c>
      <c r="X9" s="65">
        <v>3</v>
      </c>
      <c r="Y9" s="56" t="s">
        <v>506</v>
      </c>
      <c r="Z9" s="56" t="s">
        <v>198</v>
      </c>
      <c r="AA9" s="56" t="s">
        <v>510</v>
      </c>
    </row>
    <row r="10" spans="2:27" ht="34.200000000000003" customHeight="1">
      <c r="B10" s="65">
        <f t="shared" si="0"/>
        <v>4</v>
      </c>
      <c r="C10" s="55" t="s">
        <v>406</v>
      </c>
      <c r="D10" s="55" t="s">
        <v>387</v>
      </c>
      <c r="E10" s="56" t="s">
        <v>164</v>
      </c>
      <c r="F10" s="56" t="s">
        <v>133</v>
      </c>
      <c r="G10" s="56" t="s">
        <v>133</v>
      </c>
      <c r="H10" s="56" t="s">
        <v>161</v>
      </c>
      <c r="I10" s="56" t="s">
        <v>156</v>
      </c>
      <c r="J10" s="56"/>
      <c r="K10" s="56"/>
      <c r="L10" s="56"/>
      <c r="M10" s="81">
        <v>45645</v>
      </c>
      <c r="N10" s="119" t="s">
        <v>165</v>
      </c>
      <c r="O10" s="56" t="s">
        <v>157</v>
      </c>
      <c r="P10" s="66" t="s">
        <v>158</v>
      </c>
      <c r="S10" s="62">
        <f t="shared" si="1"/>
        <v>4</v>
      </c>
      <c r="T10" s="55" t="s">
        <v>516</v>
      </c>
      <c r="U10" s="55" t="s">
        <v>508</v>
      </c>
      <c r="X10" s="65">
        <v>4</v>
      </c>
      <c r="Y10" s="56" t="s">
        <v>345</v>
      </c>
      <c r="Z10" s="56" t="s">
        <v>344</v>
      </c>
      <c r="AA10" s="56" t="s">
        <v>511</v>
      </c>
    </row>
    <row r="11" spans="2:27" ht="34.200000000000003" customHeight="1">
      <c r="B11" s="65">
        <f t="shared" si="0"/>
        <v>5</v>
      </c>
      <c r="C11" s="55" t="s">
        <v>407</v>
      </c>
      <c r="D11" s="55" t="s">
        <v>387</v>
      </c>
      <c r="E11" s="56" t="s">
        <v>166</v>
      </c>
      <c r="F11" s="56" t="s">
        <v>133</v>
      </c>
      <c r="G11" s="56" t="s">
        <v>133</v>
      </c>
      <c r="H11" s="56" t="s">
        <v>161</v>
      </c>
      <c r="I11" s="56" t="s">
        <v>156</v>
      </c>
      <c r="J11" s="56"/>
      <c r="K11" s="56"/>
      <c r="L11" s="56"/>
      <c r="M11" s="81">
        <v>45645</v>
      </c>
      <c r="N11" s="119" t="s">
        <v>167</v>
      </c>
      <c r="O11" s="56" t="s">
        <v>157</v>
      </c>
      <c r="P11" s="66" t="s">
        <v>158</v>
      </c>
      <c r="S11" s="62">
        <f t="shared" si="1"/>
        <v>5</v>
      </c>
      <c r="T11" s="55" t="s">
        <v>516</v>
      </c>
      <c r="U11" s="56" t="s">
        <v>312</v>
      </c>
      <c r="X11" s="65">
        <v>5</v>
      </c>
      <c r="Y11" s="56" t="s">
        <v>507</v>
      </c>
      <c r="Z11" s="56" t="s">
        <v>503</v>
      </c>
      <c r="AA11" s="56" t="s">
        <v>512</v>
      </c>
    </row>
    <row r="12" spans="2:27" ht="34.200000000000003" customHeight="1">
      <c r="B12" s="65">
        <f t="shared" si="0"/>
        <v>6</v>
      </c>
      <c r="C12" s="55" t="s">
        <v>408</v>
      </c>
      <c r="D12" s="55" t="s">
        <v>387</v>
      </c>
      <c r="E12" s="56" t="s">
        <v>168</v>
      </c>
      <c r="F12" s="56" t="s">
        <v>133</v>
      </c>
      <c r="G12" s="56" t="s">
        <v>133</v>
      </c>
      <c r="H12" s="56" t="s">
        <v>161</v>
      </c>
      <c r="I12" s="56" t="s">
        <v>156</v>
      </c>
      <c r="J12" s="56"/>
      <c r="K12" s="56"/>
      <c r="L12" s="56"/>
      <c r="M12" s="81">
        <v>45645</v>
      </c>
      <c r="N12" s="119" t="s">
        <v>169</v>
      </c>
      <c r="O12" s="56" t="s">
        <v>157</v>
      </c>
      <c r="P12" s="66" t="s">
        <v>158</v>
      </c>
      <c r="S12" s="62">
        <f t="shared" si="1"/>
        <v>6</v>
      </c>
      <c r="T12" s="55" t="s">
        <v>516</v>
      </c>
      <c r="U12" s="56" t="s">
        <v>513</v>
      </c>
      <c r="X12" s="65">
        <v>6</v>
      </c>
      <c r="Y12" s="56" t="s">
        <v>225</v>
      </c>
      <c r="Z12" s="56" t="s">
        <v>502</v>
      </c>
      <c r="AA12" s="56" t="s">
        <v>513</v>
      </c>
    </row>
    <row r="13" spans="2:27" ht="34.200000000000003" customHeight="1">
      <c r="B13" s="65">
        <f t="shared" si="0"/>
        <v>7</v>
      </c>
      <c r="C13" s="55" t="s">
        <v>409</v>
      </c>
      <c r="D13" s="55" t="s">
        <v>389</v>
      </c>
      <c r="E13" s="56" t="s">
        <v>170</v>
      </c>
      <c r="F13" s="56" t="s">
        <v>133</v>
      </c>
      <c r="G13" s="56" t="s">
        <v>133</v>
      </c>
      <c r="H13" s="56" t="s">
        <v>161</v>
      </c>
      <c r="I13" s="56" t="s">
        <v>156</v>
      </c>
      <c r="J13" s="56"/>
      <c r="K13" s="56"/>
      <c r="L13" s="56"/>
      <c r="M13" s="81">
        <v>45694</v>
      </c>
      <c r="N13" s="119" t="s">
        <v>171</v>
      </c>
      <c r="O13" s="56" t="s">
        <v>157</v>
      </c>
      <c r="P13" s="66" t="s">
        <v>158</v>
      </c>
      <c r="S13" s="62">
        <f t="shared" si="1"/>
        <v>7</v>
      </c>
      <c r="T13" s="55" t="s">
        <v>517</v>
      </c>
      <c r="U13" s="55" t="s">
        <v>508</v>
      </c>
      <c r="X13" s="65"/>
      <c r="Y13" s="56"/>
      <c r="Z13" s="56" t="s">
        <v>598</v>
      </c>
      <c r="AA13" s="56" t="s">
        <v>514</v>
      </c>
    </row>
    <row r="14" spans="2:27" ht="34.200000000000003" customHeight="1">
      <c r="B14" s="65">
        <f t="shared" si="0"/>
        <v>8</v>
      </c>
      <c r="C14" s="55" t="s">
        <v>410</v>
      </c>
      <c r="D14" s="55" t="s">
        <v>389</v>
      </c>
      <c r="E14" s="56" t="s">
        <v>172</v>
      </c>
      <c r="F14" s="56" t="s">
        <v>133</v>
      </c>
      <c r="G14" s="56" t="s">
        <v>133</v>
      </c>
      <c r="H14" s="56" t="s">
        <v>161</v>
      </c>
      <c r="I14" s="56" t="s">
        <v>156</v>
      </c>
      <c r="J14" s="56"/>
      <c r="K14" s="56"/>
      <c r="L14" s="56"/>
      <c r="M14" s="81">
        <v>45694</v>
      </c>
      <c r="N14" s="119" t="s">
        <v>173</v>
      </c>
      <c r="O14" s="56" t="s">
        <v>157</v>
      </c>
      <c r="P14" s="66" t="s">
        <v>158</v>
      </c>
      <c r="S14" s="65"/>
      <c r="T14" s="56"/>
      <c r="U14" s="56"/>
      <c r="X14" s="65"/>
      <c r="Y14" s="56"/>
      <c r="Z14" s="56"/>
      <c r="AA14" s="56" t="s">
        <v>518</v>
      </c>
    </row>
    <row r="15" spans="2:27" ht="34.200000000000003" customHeight="1">
      <c r="B15" s="65">
        <f t="shared" si="0"/>
        <v>9</v>
      </c>
      <c r="C15" s="55" t="s">
        <v>411</v>
      </c>
      <c r="D15" s="55" t="s">
        <v>389</v>
      </c>
      <c r="E15" s="56" t="s">
        <v>174</v>
      </c>
      <c r="F15" s="56" t="s">
        <v>133</v>
      </c>
      <c r="G15" s="56" t="s">
        <v>133</v>
      </c>
      <c r="H15" s="56" t="s">
        <v>161</v>
      </c>
      <c r="I15" s="56" t="s">
        <v>156</v>
      </c>
      <c r="J15" s="56"/>
      <c r="K15" s="56"/>
      <c r="L15" s="56"/>
      <c r="M15" s="81">
        <v>45694</v>
      </c>
      <c r="N15" s="119" t="s">
        <v>175</v>
      </c>
      <c r="O15" s="56" t="s">
        <v>157</v>
      </c>
      <c r="P15" s="66" t="s">
        <v>158</v>
      </c>
      <c r="S15" s="65"/>
      <c r="T15" s="56"/>
      <c r="U15" s="56"/>
      <c r="X15" s="65"/>
      <c r="Y15" s="56"/>
      <c r="Z15" s="56"/>
      <c r="AA15" s="56"/>
    </row>
    <row r="16" spans="2:27" ht="34.200000000000003" customHeight="1">
      <c r="B16" s="65">
        <f t="shared" si="0"/>
        <v>10</v>
      </c>
      <c r="C16" s="55" t="s">
        <v>412</v>
      </c>
      <c r="D16" s="55" t="s">
        <v>389</v>
      </c>
      <c r="E16" s="56" t="s">
        <v>176</v>
      </c>
      <c r="F16" s="56" t="s">
        <v>133</v>
      </c>
      <c r="G16" s="56" t="s">
        <v>133</v>
      </c>
      <c r="H16" s="56" t="s">
        <v>161</v>
      </c>
      <c r="I16" s="56" t="s">
        <v>156</v>
      </c>
      <c r="J16" s="56"/>
      <c r="K16" s="56"/>
      <c r="L16" s="56"/>
      <c r="M16" s="81">
        <v>45694</v>
      </c>
      <c r="N16" s="119" t="s">
        <v>177</v>
      </c>
      <c r="O16" s="56" t="s">
        <v>157</v>
      </c>
      <c r="P16" s="66" t="s">
        <v>158</v>
      </c>
      <c r="S16" s="65"/>
      <c r="T16" s="56"/>
      <c r="U16" s="56"/>
      <c r="X16" s="65"/>
      <c r="Y16" s="56"/>
      <c r="Z16" s="56"/>
      <c r="AA16" s="56"/>
    </row>
    <row r="17" spans="2:27" ht="34.200000000000003" customHeight="1">
      <c r="B17" s="65">
        <f t="shared" si="0"/>
        <v>11</v>
      </c>
      <c r="C17" s="55" t="s">
        <v>413</v>
      </c>
      <c r="D17" s="55" t="s">
        <v>389</v>
      </c>
      <c r="E17" s="56" t="s">
        <v>178</v>
      </c>
      <c r="F17" s="56" t="s">
        <v>133</v>
      </c>
      <c r="G17" s="56" t="s">
        <v>133</v>
      </c>
      <c r="H17" s="56" t="s">
        <v>161</v>
      </c>
      <c r="I17" s="56" t="s">
        <v>156</v>
      </c>
      <c r="J17" s="56"/>
      <c r="K17" s="56"/>
      <c r="L17" s="56"/>
      <c r="M17" s="81">
        <v>45694</v>
      </c>
      <c r="N17" s="119" t="s">
        <v>179</v>
      </c>
      <c r="O17" s="56" t="s">
        <v>157</v>
      </c>
      <c r="P17" s="66" t="s">
        <v>158</v>
      </c>
      <c r="S17" s="65"/>
      <c r="T17" s="56"/>
      <c r="U17" s="56"/>
      <c r="X17" s="65"/>
      <c r="Y17" s="56"/>
      <c r="Z17" s="56"/>
      <c r="AA17" s="56"/>
    </row>
    <row r="18" spans="2:27" ht="34.200000000000003" customHeight="1">
      <c r="B18" s="65">
        <f t="shared" si="0"/>
        <v>12</v>
      </c>
      <c r="C18" s="55" t="s">
        <v>414</v>
      </c>
      <c r="D18" s="55" t="s">
        <v>389</v>
      </c>
      <c r="E18" s="56" t="s">
        <v>180</v>
      </c>
      <c r="F18" s="56" t="s">
        <v>133</v>
      </c>
      <c r="G18" s="56" t="s">
        <v>133</v>
      </c>
      <c r="H18" s="56" t="s">
        <v>161</v>
      </c>
      <c r="I18" s="56" t="s">
        <v>156</v>
      </c>
      <c r="J18" s="56"/>
      <c r="K18" s="56"/>
      <c r="L18" s="56"/>
      <c r="M18" s="81">
        <v>45694</v>
      </c>
      <c r="N18" s="119" t="s">
        <v>181</v>
      </c>
      <c r="O18" s="56" t="s">
        <v>157</v>
      </c>
      <c r="P18" s="66" t="s">
        <v>158</v>
      </c>
      <c r="S18" s="65"/>
      <c r="T18" s="56"/>
      <c r="U18" s="56"/>
      <c r="X18" s="65"/>
      <c r="Y18" s="56"/>
      <c r="Z18" s="56"/>
      <c r="AA18" s="56"/>
    </row>
    <row r="19" spans="2:27" ht="34.200000000000003" customHeight="1">
      <c r="B19" s="65">
        <f t="shared" si="0"/>
        <v>13</v>
      </c>
      <c r="C19" s="55" t="s">
        <v>415</v>
      </c>
      <c r="D19" s="55" t="s">
        <v>389</v>
      </c>
      <c r="E19" s="56" t="s">
        <v>182</v>
      </c>
      <c r="F19" s="56" t="s">
        <v>133</v>
      </c>
      <c r="G19" s="56" t="s">
        <v>133</v>
      </c>
      <c r="H19" s="56" t="s">
        <v>161</v>
      </c>
      <c r="I19" s="56" t="s">
        <v>156</v>
      </c>
      <c r="J19" s="56"/>
      <c r="K19" s="56"/>
      <c r="L19" s="56"/>
      <c r="M19" s="81">
        <v>45694</v>
      </c>
      <c r="N19" s="119" t="s">
        <v>183</v>
      </c>
      <c r="O19" s="56" t="s">
        <v>157</v>
      </c>
      <c r="P19" s="66" t="s">
        <v>158</v>
      </c>
      <c r="S19" s="65"/>
      <c r="T19" s="56"/>
      <c r="U19" s="56"/>
      <c r="X19" s="65"/>
      <c r="Y19" s="56"/>
      <c r="Z19" s="56"/>
      <c r="AA19" s="56"/>
    </row>
    <row r="20" spans="2:27" ht="34.200000000000003" customHeight="1">
      <c r="B20" s="65">
        <f t="shared" si="0"/>
        <v>14</v>
      </c>
      <c r="C20" s="55" t="s">
        <v>416</v>
      </c>
      <c r="D20" s="56" t="s">
        <v>379</v>
      </c>
      <c r="E20" s="56" t="s">
        <v>184</v>
      </c>
      <c r="F20" s="56" t="s">
        <v>288</v>
      </c>
      <c r="G20" s="56" t="s">
        <v>288</v>
      </c>
      <c r="H20" s="56" t="s">
        <v>185</v>
      </c>
      <c r="I20" s="56" t="s">
        <v>186</v>
      </c>
      <c r="J20" s="56"/>
      <c r="K20" s="82" t="s">
        <v>187</v>
      </c>
      <c r="L20" s="56" t="s">
        <v>307</v>
      </c>
      <c r="M20" s="81">
        <v>45680</v>
      </c>
      <c r="N20" s="85" t="s">
        <v>64</v>
      </c>
      <c r="O20" s="27" t="s">
        <v>200</v>
      </c>
      <c r="P20" s="121" t="s">
        <v>200</v>
      </c>
      <c r="S20" s="65"/>
      <c r="T20" s="56"/>
      <c r="U20" s="56"/>
      <c r="X20" s="65"/>
      <c r="Y20" s="56"/>
      <c r="Z20" s="56"/>
      <c r="AA20" s="56"/>
    </row>
    <row r="21" spans="2:27" ht="34.200000000000003" customHeight="1">
      <c r="B21" s="65">
        <f t="shared" si="0"/>
        <v>15</v>
      </c>
      <c r="C21" s="55" t="s">
        <v>417</v>
      </c>
      <c r="D21" s="56" t="s">
        <v>379</v>
      </c>
      <c r="E21" s="56" t="s">
        <v>188</v>
      </c>
      <c r="F21" s="56" t="s">
        <v>288</v>
      </c>
      <c r="G21" s="56" t="s">
        <v>288</v>
      </c>
      <c r="H21" s="56" t="s">
        <v>185</v>
      </c>
      <c r="I21" s="56" t="s">
        <v>186</v>
      </c>
      <c r="J21" s="56"/>
      <c r="K21" s="82" t="s">
        <v>187</v>
      </c>
      <c r="L21" s="56" t="s">
        <v>307</v>
      </c>
      <c r="M21" s="81">
        <v>45680</v>
      </c>
      <c r="N21" s="85" t="s">
        <v>64</v>
      </c>
      <c r="O21" s="27" t="s">
        <v>200</v>
      </c>
      <c r="P21" s="121" t="s">
        <v>200</v>
      </c>
      <c r="S21" s="65"/>
      <c r="T21" s="56"/>
      <c r="U21" s="56"/>
      <c r="X21" s="65"/>
      <c r="Y21" s="56"/>
      <c r="Z21" s="56"/>
      <c r="AA21" s="56"/>
    </row>
    <row r="22" spans="2:27" ht="34.200000000000003" customHeight="1">
      <c r="B22" s="65">
        <f t="shared" si="0"/>
        <v>16</v>
      </c>
      <c r="C22" s="55" t="s">
        <v>418</v>
      </c>
      <c r="D22" s="56" t="s">
        <v>379</v>
      </c>
      <c r="E22" s="56" t="s">
        <v>189</v>
      </c>
      <c r="F22" s="56" t="s">
        <v>288</v>
      </c>
      <c r="G22" s="56" t="s">
        <v>288</v>
      </c>
      <c r="H22" s="56" t="s">
        <v>185</v>
      </c>
      <c r="I22" s="56" t="s">
        <v>186</v>
      </c>
      <c r="J22" s="56"/>
      <c r="K22" s="82" t="s">
        <v>187</v>
      </c>
      <c r="L22" s="56" t="s">
        <v>307</v>
      </c>
      <c r="M22" s="81">
        <v>45680</v>
      </c>
      <c r="N22" s="85" t="s">
        <v>64</v>
      </c>
      <c r="O22" s="27" t="s">
        <v>200</v>
      </c>
      <c r="P22" s="121" t="s">
        <v>200</v>
      </c>
      <c r="S22" s="65"/>
      <c r="T22" s="56"/>
      <c r="U22" s="56"/>
      <c r="X22" s="65"/>
      <c r="Y22" s="56"/>
      <c r="Z22" s="56"/>
      <c r="AA22" s="56"/>
    </row>
    <row r="23" spans="2:27" ht="34.200000000000003" customHeight="1">
      <c r="B23" s="65">
        <f t="shared" si="0"/>
        <v>17</v>
      </c>
      <c r="C23" s="55" t="s">
        <v>419</v>
      </c>
      <c r="D23" s="56" t="s">
        <v>375</v>
      </c>
      <c r="E23" s="56" t="s">
        <v>191</v>
      </c>
      <c r="F23" s="56" t="s">
        <v>147</v>
      </c>
      <c r="G23" s="56" t="s">
        <v>147</v>
      </c>
      <c r="H23" s="56" t="s">
        <v>161</v>
      </c>
      <c r="I23" s="56" t="s">
        <v>197</v>
      </c>
      <c r="J23" s="56"/>
      <c r="K23" s="56"/>
      <c r="L23" s="56"/>
      <c r="M23" s="81">
        <v>45036</v>
      </c>
      <c r="N23" s="85" t="s">
        <v>226</v>
      </c>
      <c r="O23" s="56" t="s">
        <v>157</v>
      </c>
      <c r="P23" s="66" t="s">
        <v>158</v>
      </c>
      <c r="S23" s="65"/>
      <c r="T23" s="56"/>
      <c r="U23" s="56"/>
      <c r="X23" s="65"/>
      <c r="Y23" s="56"/>
      <c r="Z23" s="56"/>
      <c r="AA23" s="56"/>
    </row>
    <row r="24" spans="2:27" ht="34.200000000000003" customHeight="1">
      <c r="B24" s="65">
        <f t="shared" si="0"/>
        <v>18</v>
      </c>
      <c r="C24" s="55" t="s">
        <v>420</v>
      </c>
      <c r="D24" s="56" t="s">
        <v>375</v>
      </c>
      <c r="E24" s="56" t="s">
        <v>192</v>
      </c>
      <c r="F24" s="56" t="s">
        <v>147</v>
      </c>
      <c r="G24" s="56" t="s">
        <v>147</v>
      </c>
      <c r="H24" s="56" t="s">
        <v>161</v>
      </c>
      <c r="I24" s="56" t="s">
        <v>197</v>
      </c>
      <c r="J24" s="56"/>
      <c r="K24" s="56"/>
      <c r="L24" s="56"/>
      <c r="M24" s="81">
        <v>45036</v>
      </c>
      <c r="N24" s="85" t="s">
        <v>226</v>
      </c>
      <c r="O24" s="56" t="s">
        <v>157</v>
      </c>
      <c r="P24" s="66" t="s">
        <v>158</v>
      </c>
      <c r="S24" s="65"/>
      <c r="T24" s="56"/>
      <c r="U24" s="56"/>
      <c r="X24" s="65"/>
      <c r="Y24" s="56"/>
      <c r="Z24" s="56"/>
      <c r="AA24" s="56"/>
    </row>
    <row r="25" spans="2:27" ht="34.200000000000003" customHeight="1">
      <c r="B25" s="65">
        <f t="shared" si="0"/>
        <v>19</v>
      </c>
      <c r="C25" s="55" t="s">
        <v>421</v>
      </c>
      <c r="D25" s="56" t="s">
        <v>375</v>
      </c>
      <c r="E25" s="56" t="s">
        <v>193</v>
      </c>
      <c r="F25" s="56" t="s">
        <v>147</v>
      </c>
      <c r="G25" s="56" t="s">
        <v>147</v>
      </c>
      <c r="H25" s="56" t="s">
        <v>161</v>
      </c>
      <c r="I25" s="56" t="s">
        <v>197</v>
      </c>
      <c r="J25" s="56"/>
      <c r="K25" s="56"/>
      <c r="L25" s="56"/>
      <c r="M25" s="81">
        <v>45036</v>
      </c>
      <c r="N25" s="85" t="s">
        <v>226</v>
      </c>
      <c r="O25" s="56" t="s">
        <v>157</v>
      </c>
      <c r="P25" s="66" t="s">
        <v>158</v>
      </c>
      <c r="S25" s="65"/>
      <c r="T25" s="56"/>
      <c r="U25" s="56"/>
      <c r="X25" s="65"/>
      <c r="Y25" s="56"/>
      <c r="Z25" s="56"/>
      <c r="AA25" s="56"/>
    </row>
    <row r="26" spans="2:27" ht="34.200000000000003" customHeight="1">
      <c r="B26" s="65">
        <f t="shared" si="0"/>
        <v>20</v>
      </c>
      <c r="C26" s="55" t="s">
        <v>422</v>
      </c>
      <c r="D26" s="56" t="s">
        <v>375</v>
      </c>
      <c r="E26" s="56" t="s">
        <v>194</v>
      </c>
      <c r="F26" s="56" t="s">
        <v>147</v>
      </c>
      <c r="G26" s="56" t="s">
        <v>147</v>
      </c>
      <c r="H26" s="56" t="s">
        <v>161</v>
      </c>
      <c r="I26" s="56" t="s">
        <v>198</v>
      </c>
      <c r="J26" s="56"/>
      <c r="K26" s="56"/>
      <c r="L26" s="56"/>
      <c r="M26" s="81">
        <v>45036</v>
      </c>
      <c r="N26" s="85" t="s">
        <v>226</v>
      </c>
      <c r="O26" s="56" t="s">
        <v>157</v>
      </c>
      <c r="P26" s="66" t="s">
        <v>158</v>
      </c>
      <c r="S26" s="65"/>
      <c r="T26" s="56"/>
      <c r="U26" s="56"/>
      <c r="X26" s="65"/>
      <c r="Y26" s="56"/>
      <c r="Z26" s="56"/>
      <c r="AA26" s="56"/>
    </row>
    <row r="27" spans="2:27" ht="34.200000000000003" customHeight="1">
      <c r="B27" s="65">
        <f t="shared" si="0"/>
        <v>21</v>
      </c>
      <c r="C27" s="55" t="s">
        <v>423</v>
      </c>
      <c r="D27" s="56" t="s">
        <v>375</v>
      </c>
      <c r="E27" s="56" t="s">
        <v>195</v>
      </c>
      <c r="F27" s="56" t="s">
        <v>147</v>
      </c>
      <c r="G27" s="56" t="s">
        <v>147</v>
      </c>
      <c r="H27" s="56" t="s">
        <v>161</v>
      </c>
      <c r="I27" s="56" t="s">
        <v>198</v>
      </c>
      <c r="J27" s="56"/>
      <c r="K27" s="56"/>
      <c r="L27" s="56"/>
      <c r="M27" s="81">
        <v>45036</v>
      </c>
      <c r="N27" s="85" t="s">
        <v>226</v>
      </c>
      <c r="O27" s="56" t="s">
        <v>157</v>
      </c>
      <c r="P27" s="66" t="s">
        <v>158</v>
      </c>
      <c r="S27" s="65"/>
      <c r="T27" s="56"/>
      <c r="U27" s="56"/>
      <c r="X27" s="65"/>
      <c r="Y27" s="56"/>
      <c r="Z27" s="56"/>
      <c r="AA27" s="56"/>
    </row>
    <row r="28" spans="2:27" ht="34.200000000000003" customHeight="1">
      <c r="B28" s="65">
        <f t="shared" si="0"/>
        <v>22</v>
      </c>
      <c r="C28" s="55" t="s">
        <v>424</v>
      </c>
      <c r="D28" s="56" t="s">
        <v>375</v>
      </c>
      <c r="E28" s="56" t="s">
        <v>196</v>
      </c>
      <c r="F28" s="56" t="s">
        <v>147</v>
      </c>
      <c r="G28" s="56" t="s">
        <v>147</v>
      </c>
      <c r="H28" s="56" t="s">
        <v>161</v>
      </c>
      <c r="I28" s="56" t="s">
        <v>198</v>
      </c>
      <c r="J28" s="56"/>
      <c r="K28" s="56"/>
      <c r="L28" s="56"/>
      <c r="M28" s="81">
        <v>45036</v>
      </c>
      <c r="N28" s="85" t="s">
        <v>226</v>
      </c>
      <c r="O28" s="56" t="s">
        <v>157</v>
      </c>
      <c r="P28" s="66" t="s">
        <v>158</v>
      </c>
      <c r="S28" s="65"/>
      <c r="T28" s="56"/>
      <c r="U28" s="56"/>
      <c r="X28" s="65"/>
      <c r="Y28" s="56"/>
      <c r="Z28" s="56"/>
      <c r="AA28" s="56"/>
    </row>
    <row r="29" spans="2:27" ht="34.200000000000003" customHeight="1">
      <c r="B29" s="65">
        <f t="shared" si="0"/>
        <v>23</v>
      </c>
      <c r="C29" s="55" t="s">
        <v>425</v>
      </c>
      <c r="D29" s="56" t="s">
        <v>377</v>
      </c>
      <c r="E29" s="56" t="s">
        <v>202</v>
      </c>
      <c r="F29" s="56" t="s">
        <v>201</v>
      </c>
      <c r="G29" s="56" t="s">
        <v>201</v>
      </c>
      <c r="H29" s="56" t="s">
        <v>161</v>
      </c>
      <c r="I29" s="56" t="s">
        <v>197</v>
      </c>
      <c r="J29" s="56"/>
      <c r="K29" s="56"/>
      <c r="L29" s="56" t="s">
        <v>308</v>
      </c>
      <c r="M29" s="81">
        <v>45597</v>
      </c>
      <c r="N29" s="85" t="s">
        <v>227</v>
      </c>
      <c r="O29" s="56" t="s">
        <v>204</v>
      </c>
      <c r="P29" s="66" t="s">
        <v>158</v>
      </c>
      <c r="S29" s="65"/>
      <c r="T29" s="56"/>
      <c r="U29" s="56"/>
      <c r="X29" s="65"/>
      <c r="Y29" s="56"/>
      <c r="Z29" s="56"/>
      <c r="AA29" s="56"/>
    </row>
    <row r="30" spans="2:27" ht="34.200000000000003" customHeight="1">
      <c r="B30" s="65">
        <f t="shared" si="0"/>
        <v>24</v>
      </c>
      <c r="C30" s="55" t="s">
        <v>426</v>
      </c>
      <c r="D30" s="56" t="s">
        <v>376</v>
      </c>
      <c r="E30" s="56" t="s">
        <v>203</v>
      </c>
      <c r="F30" s="56" t="s">
        <v>117</v>
      </c>
      <c r="G30" s="56" t="s">
        <v>117</v>
      </c>
      <c r="H30" s="56" t="s">
        <v>161</v>
      </c>
      <c r="I30" s="56" t="s">
        <v>197</v>
      </c>
      <c r="J30" s="56"/>
      <c r="K30" s="56"/>
      <c r="L30" s="56" t="s">
        <v>309</v>
      </c>
      <c r="M30" s="81">
        <v>45106</v>
      </c>
      <c r="N30" s="85" t="s">
        <v>228</v>
      </c>
      <c r="O30" s="56" t="s">
        <v>204</v>
      </c>
      <c r="P30" s="66" t="s">
        <v>158</v>
      </c>
      <c r="S30" s="65"/>
      <c r="T30" s="56"/>
      <c r="U30" s="56"/>
      <c r="X30" s="65"/>
      <c r="Y30" s="56"/>
      <c r="Z30" s="56"/>
      <c r="AA30" s="56"/>
    </row>
    <row r="31" spans="2:27" ht="34.200000000000003" customHeight="1">
      <c r="B31" s="65">
        <f t="shared" si="0"/>
        <v>25</v>
      </c>
      <c r="C31" s="55" t="s">
        <v>427</v>
      </c>
      <c r="D31" s="56" t="s">
        <v>367</v>
      </c>
      <c r="E31" s="56" t="s">
        <v>205</v>
      </c>
      <c r="F31" s="56" t="s">
        <v>137</v>
      </c>
      <c r="G31" s="56" t="s">
        <v>136</v>
      </c>
      <c r="H31" s="56" t="s">
        <v>161</v>
      </c>
      <c r="I31" s="56" t="s">
        <v>198</v>
      </c>
      <c r="J31" s="56"/>
      <c r="K31" s="56"/>
      <c r="L31" s="56"/>
      <c r="M31" s="81">
        <v>44804</v>
      </c>
      <c r="N31" s="85" t="s">
        <v>62</v>
      </c>
      <c r="O31" s="56" t="s">
        <v>204</v>
      </c>
      <c r="P31" s="66" t="s">
        <v>158</v>
      </c>
      <c r="S31" s="65"/>
      <c r="T31" s="56"/>
      <c r="U31" s="56"/>
      <c r="X31" s="65"/>
      <c r="Y31" s="56"/>
      <c r="Z31" s="56"/>
      <c r="AA31" s="56"/>
    </row>
    <row r="32" spans="2:27" ht="34.200000000000003" customHeight="1">
      <c r="B32" s="65">
        <f t="shared" si="0"/>
        <v>26</v>
      </c>
      <c r="C32" s="55" t="s">
        <v>428</v>
      </c>
      <c r="D32" s="56" t="s">
        <v>367</v>
      </c>
      <c r="E32" s="56" t="s">
        <v>206</v>
      </c>
      <c r="F32" s="56" t="s">
        <v>137</v>
      </c>
      <c r="G32" s="56" t="s">
        <v>136</v>
      </c>
      <c r="H32" s="56" t="s">
        <v>161</v>
      </c>
      <c r="I32" s="56" t="s">
        <v>198</v>
      </c>
      <c r="J32" s="56"/>
      <c r="K32" s="56"/>
      <c r="L32" s="56"/>
      <c r="M32" s="81">
        <v>44804</v>
      </c>
      <c r="N32" s="85" t="s">
        <v>62</v>
      </c>
      <c r="O32" s="56" t="s">
        <v>204</v>
      </c>
      <c r="P32" s="66" t="s">
        <v>158</v>
      </c>
      <c r="S32" s="65"/>
      <c r="T32" s="56"/>
      <c r="U32" s="56"/>
      <c r="X32" s="65"/>
      <c r="Y32" s="56"/>
      <c r="Z32" s="56"/>
      <c r="AA32" s="56"/>
    </row>
    <row r="33" spans="2:27" ht="34.200000000000003" customHeight="1">
      <c r="B33" s="65">
        <f t="shared" si="0"/>
        <v>27</v>
      </c>
      <c r="C33" s="55" t="s">
        <v>429</v>
      </c>
      <c r="D33" s="56" t="s">
        <v>367</v>
      </c>
      <c r="E33" s="56" t="s">
        <v>207</v>
      </c>
      <c r="F33" s="56" t="s">
        <v>137</v>
      </c>
      <c r="G33" s="56" t="s">
        <v>136</v>
      </c>
      <c r="H33" s="56" t="s">
        <v>161</v>
      </c>
      <c r="I33" s="56" t="s">
        <v>198</v>
      </c>
      <c r="J33" s="56"/>
      <c r="K33" s="56"/>
      <c r="L33" s="56"/>
      <c r="M33" s="81">
        <v>44804</v>
      </c>
      <c r="N33" s="85" t="s">
        <v>62</v>
      </c>
      <c r="O33" s="56" t="s">
        <v>204</v>
      </c>
      <c r="P33" s="66" t="s">
        <v>158</v>
      </c>
      <c r="S33" s="65"/>
      <c r="T33" s="56"/>
      <c r="U33" s="56"/>
      <c r="X33" s="65"/>
      <c r="Y33" s="56"/>
      <c r="Z33" s="56"/>
      <c r="AA33" s="56"/>
    </row>
    <row r="34" spans="2:27" ht="34.200000000000003" customHeight="1">
      <c r="B34" s="65">
        <f t="shared" si="0"/>
        <v>28</v>
      </c>
      <c r="C34" s="55" t="s">
        <v>430</v>
      </c>
      <c r="D34" s="56" t="s">
        <v>367</v>
      </c>
      <c r="E34" s="56" t="s">
        <v>208</v>
      </c>
      <c r="F34" s="56" t="s">
        <v>137</v>
      </c>
      <c r="G34" s="56" t="s">
        <v>136</v>
      </c>
      <c r="H34" s="56" t="s">
        <v>161</v>
      </c>
      <c r="I34" s="56" t="s">
        <v>198</v>
      </c>
      <c r="J34" s="56"/>
      <c r="K34" s="56"/>
      <c r="L34" s="56"/>
      <c r="M34" s="81">
        <v>44804</v>
      </c>
      <c r="N34" s="85" t="s">
        <v>62</v>
      </c>
      <c r="O34" s="56" t="s">
        <v>204</v>
      </c>
      <c r="P34" s="66" t="s">
        <v>158</v>
      </c>
      <c r="S34" s="65"/>
      <c r="T34" s="56"/>
      <c r="U34" s="56"/>
      <c r="X34" s="65"/>
      <c r="Y34" s="56"/>
      <c r="Z34" s="56"/>
      <c r="AA34" s="56"/>
    </row>
    <row r="35" spans="2:27" ht="34.200000000000003" customHeight="1">
      <c r="B35" s="65">
        <f t="shared" si="0"/>
        <v>29</v>
      </c>
      <c r="C35" s="55" t="s">
        <v>431</v>
      </c>
      <c r="D35" s="56" t="s">
        <v>367</v>
      </c>
      <c r="E35" s="56" t="s">
        <v>209</v>
      </c>
      <c r="F35" s="56" t="s">
        <v>137</v>
      </c>
      <c r="G35" s="56" t="s">
        <v>136</v>
      </c>
      <c r="H35" s="56" t="s">
        <v>161</v>
      </c>
      <c r="I35" s="56" t="s">
        <v>198</v>
      </c>
      <c r="J35" s="56"/>
      <c r="K35" s="56"/>
      <c r="L35" s="56"/>
      <c r="M35" s="81">
        <v>44804</v>
      </c>
      <c r="N35" s="85" t="s">
        <v>62</v>
      </c>
      <c r="O35" s="56" t="s">
        <v>204</v>
      </c>
      <c r="P35" s="66" t="s">
        <v>158</v>
      </c>
      <c r="S35" s="65"/>
      <c r="T35" s="56"/>
      <c r="U35" s="56"/>
      <c r="X35" s="65"/>
      <c r="Y35" s="56"/>
      <c r="Z35" s="56"/>
      <c r="AA35" s="56"/>
    </row>
    <row r="36" spans="2:27" ht="34.200000000000003" customHeight="1">
      <c r="B36" s="65">
        <f t="shared" si="0"/>
        <v>30</v>
      </c>
      <c r="C36" s="55" t="s">
        <v>432</v>
      </c>
      <c r="D36" s="56" t="s">
        <v>367</v>
      </c>
      <c r="E36" s="56" t="s">
        <v>210</v>
      </c>
      <c r="F36" s="56" t="s">
        <v>137</v>
      </c>
      <c r="G36" s="56" t="s">
        <v>136</v>
      </c>
      <c r="H36" s="56" t="s">
        <v>161</v>
      </c>
      <c r="I36" s="56" t="s">
        <v>198</v>
      </c>
      <c r="J36" s="56"/>
      <c r="K36" s="56"/>
      <c r="L36" s="56"/>
      <c r="M36" s="81">
        <v>44804</v>
      </c>
      <c r="N36" s="85" t="s">
        <v>62</v>
      </c>
      <c r="O36" s="56" t="s">
        <v>204</v>
      </c>
      <c r="P36" s="66" t="s">
        <v>158</v>
      </c>
      <c r="S36" s="65"/>
      <c r="T36" s="56"/>
      <c r="U36" s="56"/>
      <c r="X36" s="65"/>
      <c r="Y36" s="56"/>
      <c r="Z36" s="56"/>
      <c r="AA36" s="56"/>
    </row>
    <row r="37" spans="2:27" ht="34.200000000000003" customHeight="1">
      <c r="B37" s="65">
        <f t="shared" si="0"/>
        <v>31</v>
      </c>
      <c r="C37" s="55" t="s">
        <v>433</v>
      </c>
      <c r="D37" s="56" t="s">
        <v>367</v>
      </c>
      <c r="E37" s="56" t="s">
        <v>211</v>
      </c>
      <c r="F37" s="56" t="s">
        <v>137</v>
      </c>
      <c r="G37" s="56" t="s">
        <v>136</v>
      </c>
      <c r="H37" s="56" t="s">
        <v>161</v>
      </c>
      <c r="I37" s="56" t="s">
        <v>198</v>
      </c>
      <c r="J37" s="56"/>
      <c r="K37" s="56"/>
      <c r="L37" s="56"/>
      <c r="M37" s="81">
        <v>44804</v>
      </c>
      <c r="N37" s="85" t="s">
        <v>62</v>
      </c>
      <c r="O37" s="56" t="s">
        <v>204</v>
      </c>
      <c r="P37" s="66" t="s">
        <v>158</v>
      </c>
      <c r="S37" s="65"/>
      <c r="T37" s="56"/>
      <c r="U37" s="56"/>
      <c r="X37" s="65"/>
      <c r="Y37" s="56"/>
      <c r="Z37" s="56"/>
      <c r="AA37" s="56"/>
    </row>
    <row r="38" spans="2:27" ht="34.200000000000003" customHeight="1">
      <c r="B38" s="65">
        <f t="shared" si="0"/>
        <v>32</v>
      </c>
      <c r="C38" s="55" t="s">
        <v>434</v>
      </c>
      <c r="D38" s="56" t="s">
        <v>367</v>
      </c>
      <c r="E38" s="56" t="s">
        <v>212</v>
      </c>
      <c r="F38" s="56" t="s">
        <v>137</v>
      </c>
      <c r="G38" s="56" t="s">
        <v>136</v>
      </c>
      <c r="H38" s="56" t="s">
        <v>161</v>
      </c>
      <c r="I38" s="56" t="s">
        <v>198</v>
      </c>
      <c r="J38" s="56"/>
      <c r="K38" s="56"/>
      <c r="L38" s="56"/>
      <c r="M38" s="81">
        <v>44804</v>
      </c>
      <c r="N38" s="85" t="s">
        <v>62</v>
      </c>
      <c r="O38" s="56" t="s">
        <v>204</v>
      </c>
      <c r="P38" s="66" t="s">
        <v>158</v>
      </c>
      <c r="S38" s="65"/>
      <c r="T38" s="56"/>
      <c r="U38" s="56"/>
      <c r="X38" s="65"/>
      <c r="Y38" s="56"/>
      <c r="Z38" s="56"/>
      <c r="AA38" s="56"/>
    </row>
    <row r="39" spans="2:27" ht="34.200000000000003" customHeight="1">
      <c r="B39" s="65">
        <f t="shared" si="0"/>
        <v>33</v>
      </c>
      <c r="C39" s="55" t="s">
        <v>435</v>
      </c>
      <c r="D39" s="56" t="s">
        <v>367</v>
      </c>
      <c r="E39" s="56" t="s">
        <v>213</v>
      </c>
      <c r="F39" s="56" t="s">
        <v>137</v>
      </c>
      <c r="G39" s="56" t="s">
        <v>128</v>
      </c>
      <c r="H39" s="56" t="s">
        <v>161</v>
      </c>
      <c r="I39" s="56" t="s">
        <v>198</v>
      </c>
      <c r="J39" s="56"/>
      <c r="K39" s="56"/>
      <c r="L39" s="56"/>
      <c r="M39" s="81">
        <v>44804</v>
      </c>
      <c r="N39" s="85" t="s">
        <v>129</v>
      </c>
      <c r="O39" s="56" t="s">
        <v>204</v>
      </c>
      <c r="P39" s="66" t="s">
        <v>158</v>
      </c>
      <c r="S39" s="65"/>
      <c r="T39" s="56"/>
      <c r="U39" s="56"/>
      <c r="X39" s="65"/>
      <c r="Y39" s="56"/>
      <c r="Z39" s="56"/>
      <c r="AA39" s="56"/>
    </row>
    <row r="40" spans="2:27" ht="34.200000000000003" customHeight="1">
      <c r="B40" s="65">
        <f t="shared" si="0"/>
        <v>34</v>
      </c>
      <c r="C40" s="55" t="s">
        <v>436</v>
      </c>
      <c r="D40" s="56" t="s">
        <v>367</v>
      </c>
      <c r="E40" s="56" t="s">
        <v>214</v>
      </c>
      <c r="F40" s="56" t="s">
        <v>137</v>
      </c>
      <c r="G40" s="56" t="s">
        <v>128</v>
      </c>
      <c r="H40" s="56" t="s">
        <v>161</v>
      </c>
      <c r="I40" s="56" t="s">
        <v>198</v>
      </c>
      <c r="J40" s="56"/>
      <c r="K40" s="56"/>
      <c r="L40" s="56"/>
      <c r="M40" s="81">
        <v>44804</v>
      </c>
      <c r="N40" s="85" t="s">
        <v>129</v>
      </c>
      <c r="O40" s="56" t="s">
        <v>204</v>
      </c>
      <c r="P40" s="66" t="s">
        <v>158</v>
      </c>
      <c r="S40" s="65"/>
      <c r="T40" s="56"/>
      <c r="U40" s="56"/>
      <c r="X40" s="65"/>
      <c r="Y40" s="56"/>
      <c r="Z40" s="56"/>
      <c r="AA40" s="56"/>
    </row>
    <row r="41" spans="2:27" ht="34.200000000000003" customHeight="1">
      <c r="B41" s="65">
        <f t="shared" si="0"/>
        <v>35</v>
      </c>
      <c r="C41" s="55" t="s">
        <v>437</v>
      </c>
      <c r="D41" s="56" t="s">
        <v>367</v>
      </c>
      <c r="E41" s="56" t="s">
        <v>215</v>
      </c>
      <c r="F41" s="56" t="s">
        <v>137</v>
      </c>
      <c r="G41" s="56" t="s">
        <v>128</v>
      </c>
      <c r="H41" s="56" t="s">
        <v>161</v>
      </c>
      <c r="I41" s="56" t="s">
        <v>198</v>
      </c>
      <c r="J41" s="56"/>
      <c r="K41" s="56"/>
      <c r="L41" s="56"/>
      <c r="M41" s="81">
        <v>44804</v>
      </c>
      <c r="N41" s="85" t="s">
        <v>129</v>
      </c>
      <c r="O41" s="56" t="s">
        <v>204</v>
      </c>
      <c r="P41" s="66" t="s">
        <v>158</v>
      </c>
      <c r="S41" s="65"/>
      <c r="T41" s="56"/>
      <c r="U41" s="56"/>
      <c r="X41" s="65"/>
      <c r="Y41" s="56"/>
      <c r="Z41" s="56"/>
      <c r="AA41" s="56"/>
    </row>
    <row r="42" spans="2:27" ht="34.200000000000003" customHeight="1">
      <c r="B42" s="65">
        <f t="shared" si="0"/>
        <v>36</v>
      </c>
      <c r="C42" s="55" t="s">
        <v>438</v>
      </c>
      <c r="D42" s="56" t="s">
        <v>367</v>
      </c>
      <c r="E42" s="56" t="s">
        <v>216</v>
      </c>
      <c r="F42" s="56" t="s">
        <v>137</v>
      </c>
      <c r="G42" s="56" t="s">
        <v>128</v>
      </c>
      <c r="H42" s="56" t="s">
        <v>161</v>
      </c>
      <c r="I42" s="56" t="s">
        <v>198</v>
      </c>
      <c r="J42" s="56"/>
      <c r="K42" s="56"/>
      <c r="L42" s="56"/>
      <c r="M42" s="81">
        <v>44804</v>
      </c>
      <c r="N42" s="85" t="s">
        <v>129</v>
      </c>
      <c r="O42" s="56" t="s">
        <v>204</v>
      </c>
      <c r="P42" s="66" t="s">
        <v>158</v>
      </c>
      <c r="S42" s="65"/>
      <c r="T42" s="56"/>
      <c r="U42" s="56"/>
      <c r="X42" s="65"/>
      <c r="Y42" s="56"/>
      <c r="Z42" s="56"/>
      <c r="AA42" s="56"/>
    </row>
    <row r="43" spans="2:27" ht="34.200000000000003" customHeight="1">
      <c r="B43" s="65">
        <f t="shared" si="0"/>
        <v>37</v>
      </c>
      <c r="C43" s="55" t="s">
        <v>439</v>
      </c>
      <c r="D43" s="56" t="s">
        <v>367</v>
      </c>
      <c r="E43" s="56" t="s">
        <v>217</v>
      </c>
      <c r="F43" s="56" t="s">
        <v>137</v>
      </c>
      <c r="G43" s="56" t="s">
        <v>128</v>
      </c>
      <c r="H43" s="56" t="s">
        <v>161</v>
      </c>
      <c r="I43" s="56" t="s">
        <v>198</v>
      </c>
      <c r="J43" s="56"/>
      <c r="K43" s="56"/>
      <c r="L43" s="56"/>
      <c r="M43" s="81">
        <v>44804</v>
      </c>
      <c r="N43" s="85" t="s">
        <v>129</v>
      </c>
      <c r="O43" s="56" t="s">
        <v>204</v>
      </c>
      <c r="P43" s="66" t="s">
        <v>158</v>
      </c>
      <c r="S43" s="65"/>
      <c r="T43" s="56"/>
      <c r="U43" s="56"/>
      <c r="X43" s="65"/>
      <c r="Y43" s="56"/>
      <c r="Z43" s="56"/>
      <c r="AA43" s="56"/>
    </row>
    <row r="44" spans="2:27" ht="34.200000000000003" customHeight="1">
      <c r="B44" s="65">
        <f t="shared" si="0"/>
        <v>38</v>
      </c>
      <c r="C44" s="55" t="s">
        <v>440</v>
      </c>
      <c r="D44" s="56" t="s">
        <v>372</v>
      </c>
      <c r="E44" s="56" t="s">
        <v>218</v>
      </c>
      <c r="F44" s="56" t="s">
        <v>116</v>
      </c>
      <c r="G44" s="56" t="s">
        <v>116</v>
      </c>
      <c r="H44" s="56" t="s">
        <v>161</v>
      </c>
      <c r="I44" s="56" t="s">
        <v>198</v>
      </c>
      <c r="J44" s="56"/>
      <c r="K44" s="56"/>
      <c r="L44" s="56"/>
      <c r="M44" s="81">
        <v>44805</v>
      </c>
      <c r="N44" s="85" t="s">
        <v>56</v>
      </c>
      <c r="O44" s="27" t="s">
        <v>200</v>
      </c>
      <c r="P44" s="121" t="s">
        <v>200</v>
      </c>
      <c r="S44" s="65"/>
      <c r="T44" s="56"/>
      <c r="U44" s="56"/>
      <c r="X44" s="65"/>
      <c r="Y44" s="56"/>
      <c r="Z44" s="56"/>
      <c r="AA44" s="56"/>
    </row>
    <row r="45" spans="2:27" ht="34.200000000000003" customHeight="1">
      <c r="B45" s="65">
        <f t="shared" si="0"/>
        <v>39</v>
      </c>
      <c r="C45" s="55" t="s">
        <v>441</v>
      </c>
      <c r="D45" s="56" t="s">
        <v>372</v>
      </c>
      <c r="E45" s="56" t="s">
        <v>219</v>
      </c>
      <c r="F45" s="56" t="s">
        <v>116</v>
      </c>
      <c r="G45" s="56" t="s">
        <v>116</v>
      </c>
      <c r="H45" s="56" t="s">
        <v>161</v>
      </c>
      <c r="I45" s="56" t="s">
        <v>198</v>
      </c>
      <c r="J45" s="56"/>
      <c r="K45" s="56"/>
      <c r="L45" s="56"/>
      <c r="M45" s="81">
        <v>44805</v>
      </c>
      <c r="N45" s="85" t="s">
        <v>56</v>
      </c>
      <c r="O45" s="27" t="s">
        <v>200</v>
      </c>
      <c r="P45" s="121" t="s">
        <v>200</v>
      </c>
      <c r="S45" s="65"/>
      <c r="T45" s="56"/>
      <c r="U45" s="56"/>
      <c r="X45" s="65"/>
      <c r="Y45" s="56"/>
      <c r="Z45" s="56"/>
      <c r="AA45" s="56"/>
    </row>
    <row r="46" spans="2:27" ht="34.200000000000003" customHeight="1">
      <c r="B46" s="65">
        <f t="shared" si="0"/>
        <v>40</v>
      </c>
      <c r="C46" s="55" t="s">
        <v>442</v>
      </c>
      <c r="D46" s="56" t="s">
        <v>372</v>
      </c>
      <c r="E46" s="56" t="s">
        <v>220</v>
      </c>
      <c r="F46" s="56" t="s">
        <v>116</v>
      </c>
      <c r="G46" s="56" t="s">
        <v>116</v>
      </c>
      <c r="H46" s="56" t="s">
        <v>161</v>
      </c>
      <c r="I46" s="56" t="s">
        <v>198</v>
      </c>
      <c r="J46" s="56"/>
      <c r="K46" s="56"/>
      <c r="L46" s="56"/>
      <c r="M46" s="81">
        <v>44805</v>
      </c>
      <c r="N46" s="85" t="s">
        <v>56</v>
      </c>
      <c r="O46" s="27" t="s">
        <v>200</v>
      </c>
      <c r="P46" s="121" t="s">
        <v>200</v>
      </c>
      <c r="S46" s="65"/>
      <c r="T46" s="56"/>
      <c r="U46" s="56"/>
      <c r="X46" s="65"/>
      <c r="Y46" s="56"/>
      <c r="Z46" s="56"/>
      <c r="AA46" s="56"/>
    </row>
    <row r="47" spans="2:27" ht="34.200000000000003" customHeight="1">
      <c r="B47" s="65">
        <f t="shared" si="0"/>
        <v>41</v>
      </c>
      <c r="C47" s="55" t="s">
        <v>443</v>
      </c>
      <c r="D47" s="56" t="s">
        <v>365</v>
      </c>
      <c r="E47" s="56" t="s">
        <v>221</v>
      </c>
      <c r="F47" s="56" t="s">
        <v>275</v>
      </c>
      <c r="G47" s="56" t="s">
        <v>115</v>
      </c>
      <c r="H47" s="56" t="s">
        <v>225</v>
      </c>
      <c r="I47" s="56" t="s">
        <v>197</v>
      </c>
      <c r="J47" s="56"/>
      <c r="K47" s="56"/>
      <c r="L47" s="56" t="s">
        <v>310</v>
      </c>
      <c r="M47" s="81">
        <v>44776</v>
      </c>
      <c r="N47" s="85" t="s">
        <v>229</v>
      </c>
      <c r="O47" s="56" t="s">
        <v>204</v>
      </c>
      <c r="P47" s="66" t="s">
        <v>158</v>
      </c>
      <c r="S47" s="65"/>
      <c r="T47" s="56"/>
      <c r="U47" s="56"/>
      <c r="X47" s="65"/>
      <c r="Y47" s="56"/>
      <c r="Z47" s="56"/>
      <c r="AA47" s="56"/>
    </row>
    <row r="48" spans="2:27" ht="34.200000000000003" customHeight="1">
      <c r="B48" s="65">
        <f t="shared" si="0"/>
        <v>42</v>
      </c>
      <c r="C48" s="55" t="s">
        <v>444</v>
      </c>
      <c r="D48" s="56" t="s">
        <v>365</v>
      </c>
      <c r="E48" s="56" t="s">
        <v>222</v>
      </c>
      <c r="F48" s="56" t="s">
        <v>275</v>
      </c>
      <c r="G48" s="56" t="s">
        <v>115</v>
      </c>
      <c r="H48" s="56" t="s">
        <v>225</v>
      </c>
      <c r="I48" s="56" t="s">
        <v>197</v>
      </c>
      <c r="J48" s="56"/>
      <c r="K48" s="56"/>
      <c r="L48" s="56" t="s">
        <v>310</v>
      </c>
      <c r="M48" s="81">
        <v>44776</v>
      </c>
      <c r="N48" s="85" t="s">
        <v>229</v>
      </c>
      <c r="O48" s="56" t="s">
        <v>204</v>
      </c>
      <c r="P48" s="66" t="s">
        <v>158</v>
      </c>
      <c r="S48" s="65"/>
      <c r="T48" s="56"/>
      <c r="U48" s="56"/>
      <c r="X48" s="65"/>
      <c r="Y48" s="56"/>
      <c r="Z48" s="56"/>
      <c r="AA48" s="56"/>
    </row>
    <row r="49" spans="2:27" ht="34.200000000000003" customHeight="1">
      <c r="B49" s="65">
        <f t="shared" si="0"/>
        <v>43</v>
      </c>
      <c r="C49" s="55" t="s">
        <v>445</v>
      </c>
      <c r="D49" s="56" t="s">
        <v>365</v>
      </c>
      <c r="E49" s="56" t="s">
        <v>223</v>
      </c>
      <c r="F49" s="56" t="s">
        <v>275</v>
      </c>
      <c r="G49" s="56" t="s">
        <v>115</v>
      </c>
      <c r="H49" s="56" t="s">
        <v>225</v>
      </c>
      <c r="I49" s="56" t="s">
        <v>197</v>
      </c>
      <c r="J49" s="56"/>
      <c r="K49" s="56"/>
      <c r="L49" s="56" t="s">
        <v>310</v>
      </c>
      <c r="M49" s="81">
        <v>44776</v>
      </c>
      <c r="N49" s="85" t="s">
        <v>229</v>
      </c>
      <c r="O49" s="56" t="s">
        <v>204</v>
      </c>
      <c r="P49" s="66" t="s">
        <v>158</v>
      </c>
      <c r="S49" s="65"/>
      <c r="T49" s="56"/>
      <c r="U49" s="56"/>
      <c r="X49" s="65"/>
      <c r="Y49" s="56"/>
      <c r="Z49" s="56"/>
      <c r="AA49" s="56"/>
    </row>
    <row r="50" spans="2:27" ht="34.200000000000003" customHeight="1">
      <c r="B50" s="65">
        <f t="shared" si="0"/>
        <v>44</v>
      </c>
      <c r="C50" s="55" t="s">
        <v>446</v>
      </c>
      <c r="D50" s="56" t="s">
        <v>365</v>
      </c>
      <c r="E50" s="56" t="s">
        <v>224</v>
      </c>
      <c r="F50" s="56" t="s">
        <v>275</v>
      </c>
      <c r="G50" s="56" t="s">
        <v>115</v>
      </c>
      <c r="H50" s="56" t="s">
        <v>225</v>
      </c>
      <c r="I50" s="56" t="s">
        <v>197</v>
      </c>
      <c r="J50" s="56"/>
      <c r="K50" s="56"/>
      <c r="L50" s="56" t="s">
        <v>310</v>
      </c>
      <c r="M50" s="81">
        <v>44776</v>
      </c>
      <c r="N50" s="85" t="s">
        <v>229</v>
      </c>
      <c r="O50" s="56" t="s">
        <v>204</v>
      </c>
      <c r="P50" s="66" t="s">
        <v>158</v>
      </c>
      <c r="S50" s="65"/>
      <c r="T50" s="56"/>
      <c r="U50" s="56"/>
      <c r="X50" s="65"/>
      <c r="Y50" s="56"/>
      <c r="Z50" s="56"/>
      <c r="AA50" s="56"/>
    </row>
    <row r="51" spans="2:27" ht="34.200000000000003" customHeight="1" thickBot="1">
      <c r="B51" s="68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86"/>
      <c r="O51" s="57"/>
      <c r="P51" s="70"/>
      <c r="S51" s="68"/>
      <c r="T51" s="57"/>
      <c r="U51" s="57"/>
      <c r="X51" s="68"/>
      <c r="Y51" s="57"/>
      <c r="Z51" s="57"/>
      <c r="AA51" s="57"/>
    </row>
  </sheetData>
  <mergeCells count="3">
    <mergeCell ref="S4:T4"/>
    <mergeCell ref="X4:Z4"/>
    <mergeCell ref="B4:D4"/>
  </mergeCells>
  <phoneticPr fontId="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E65D-4C26-4CA1-8328-4C2282738BA0}">
  <dimension ref="B2:AA57"/>
  <sheetViews>
    <sheetView tabSelected="1" zoomScale="55" zoomScaleNormal="55" workbookViewId="0">
      <selection activeCell="T8" activeCellId="1" sqref="M8:M10 T8:T10"/>
    </sheetView>
    <sheetView zoomScale="55" zoomScaleNormal="55" workbookViewId="1">
      <selection activeCell="R35" sqref="R35"/>
    </sheetView>
  </sheetViews>
  <sheetFormatPr defaultRowHeight="17.399999999999999"/>
  <cols>
    <col min="1" max="1" width="8.796875" style="1"/>
    <col min="2" max="2" width="5.59765625" style="1" customWidth="1"/>
    <col min="3" max="3" width="16.09765625" style="1" customWidth="1"/>
    <col min="4" max="4" width="17.8984375" style="1" customWidth="1"/>
    <col min="5" max="5" width="22.796875" style="1" customWidth="1"/>
    <col min="6" max="6" width="16.796875" style="1" customWidth="1"/>
    <col min="7" max="7" width="21" style="1" customWidth="1"/>
    <col min="8" max="8" width="17" style="155" customWidth="1"/>
    <col min="9" max="9" width="12.8984375" style="1" customWidth="1"/>
    <col min="10" max="10" width="21.09765625" style="1" customWidth="1"/>
    <col min="11" max="11" width="13.59765625" style="1" customWidth="1"/>
    <col min="12" max="13" width="13.59765625" style="110" customWidth="1"/>
    <col min="14" max="14" width="21.8984375" style="155" customWidth="1"/>
    <col min="15" max="15" width="34.69921875" style="1" customWidth="1"/>
    <col min="16" max="16" width="13.59765625" style="110" customWidth="1"/>
    <col min="17" max="17" width="20.59765625" style="1" customWidth="1"/>
    <col min="18" max="18" width="20.5" style="1" customWidth="1"/>
    <col min="19" max="19" width="13.59765625" style="1" customWidth="1"/>
    <col min="20" max="20" width="13.59765625" style="110" customWidth="1"/>
    <col min="21" max="21" width="13.59765625" style="1" customWidth="1"/>
    <col min="22" max="22" width="17" style="1" customWidth="1"/>
    <col min="23" max="23" width="17.5" style="1" customWidth="1"/>
    <col min="24" max="24" width="16.796875" style="1" customWidth="1"/>
    <col min="25" max="26" width="8.796875" style="1"/>
    <col min="27" max="27" width="17.59765625" style="1" customWidth="1"/>
    <col min="28" max="16384" width="8.796875" style="1"/>
  </cols>
  <sheetData>
    <row r="2" spans="2:27">
      <c r="B2" s="79" t="s">
        <v>0</v>
      </c>
    </row>
    <row r="3" spans="2:27" ht="18" thickBot="1"/>
    <row r="4" spans="2:27" ht="18" thickBot="1">
      <c r="B4" s="58" t="s">
        <v>33</v>
      </c>
      <c r="C4" s="59"/>
      <c r="D4" s="59"/>
      <c r="E4" s="60"/>
    </row>
    <row r="5" spans="2:27" ht="18.600000000000001" thickTop="1" thickBot="1">
      <c r="I5" s="130" t="s">
        <v>549</v>
      </c>
      <c r="J5" s="126"/>
      <c r="K5" s="126"/>
      <c r="L5" s="129"/>
      <c r="M5" s="127"/>
      <c r="N5" s="158"/>
      <c r="O5" s="128"/>
      <c r="P5" s="137" t="s">
        <v>550</v>
      </c>
      <c r="Q5" s="126"/>
      <c r="R5" s="126"/>
      <c r="S5" s="126"/>
      <c r="T5" s="138"/>
      <c r="U5" s="128"/>
      <c r="V5" s="83"/>
    </row>
    <row r="6" spans="2:27" ht="33.6" customHeight="1" thickTop="1" thickBot="1">
      <c r="B6" s="10" t="s">
        <v>1</v>
      </c>
      <c r="C6" s="95" t="s">
        <v>34</v>
      </c>
      <c r="D6" s="104" t="s">
        <v>499</v>
      </c>
      <c r="E6" s="108" t="s">
        <v>3</v>
      </c>
      <c r="F6" s="94" t="s">
        <v>535</v>
      </c>
      <c r="G6" s="108" t="s">
        <v>338</v>
      </c>
      <c r="H6" s="156" t="s">
        <v>35</v>
      </c>
      <c r="I6" s="107" t="s">
        <v>14</v>
      </c>
      <c r="J6" s="107" t="s">
        <v>13</v>
      </c>
      <c r="K6" s="11" t="s">
        <v>39</v>
      </c>
      <c r="L6" s="43" t="s">
        <v>360</v>
      </c>
      <c r="M6" s="141" t="s">
        <v>361</v>
      </c>
      <c r="N6" s="156" t="s">
        <v>557</v>
      </c>
      <c r="O6" s="108" t="s">
        <v>40</v>
      </c>
      <c r="P6" s="43" t="s">
        <v>41</v>
      </c>
      <c r="Q6" s="11" t="s">
        <v>36</v>
      </c>
      <c r="R6" s="11" t="s">
        <v>558</v>
      </c>
      <c r="S6" s="11" t="s">
        <v>551</v>
      </c>
      <c r="T6" s="141" t="s">
        <v>552</v>
      </c>
      <c r="U6" s="11" t="s">
        <v>553</v>
      </c>
      <c r="V6" s="94" t="s">
        <v>562</v>
      </c>
      <c r="W6" s="108" t="s">
        <v>37</v>
      </c>
      <c r="X6" s="108" t="s">
        <v>38</v>
      </c>
    </row>
    <row r="7" spans="2:27" ht="24.6">
      <c r="B7" s="65">
        <f t="shared" ref="B7" si="0">IF(E7&lt;&gt;"",ROW()-6,"")</f>
        <v>1</v>
      </c>
      <c r="C7" s="55" t="s">
        <v>391</v>
      </c>
      <c r="D7" s="55" t="s">
        <v>365</v>
      </c>
      <c r="E7" s="56" t="s">
        <v>275</v>
      </c>
      <c r="F7" s="56" t="s">
        <v>106</v>
      </c>
      <c r="G7" s="56" t="s">
        <v>115</v>
      </c>
      <c r="H7" s="81">
        <v>44743</v>
      </c>
      <c r="I7" s="131" t="s">
        <v>197</v>
      </c>
      <c r="J7" s="131" t="s">
        <v>343</v>
      </c>
      <c r="K7" s="131">
        <v>4</v>
      </c>
      <c r="L7" s="132">
        <v>1900000</v>
      </c>
      <c r="M7" s="133">
        <f>K7*L7</f>
        <v>7600000</v>
      </c>
      <c r="N7" s="146">
        <v>44409</v>
      </c>
      <c r="O7" s="131" t="s">
        <v>349</v>
      </c>
      <c r="P7" s="111">
        <v>25000</v>
      </c>
      <c r="Q7" s="81">
        <v>44774</v>
      </c>
      <c r="R7" s="81">
        <v>45138</v>
      </c>
      <c r="S7" s="56">
        <v>12</v>
      </c>
      <c r="T7" s="111">
        <f>K7*P7*S7</f>
        <v>1200000</v>
      </c>
      <c r="U7" s="139" t="s">
        <v>554</v>
      </c>
      <c r="V7" s="81"/>
      <c r="W7" s="56" t="s">
        <v>277</v>
      </c>
      <c r="X7" s="113" t="s">
        <v>276</v>
      </c>
    </row>
    <row r="8" spans="2:27" ht="27">
      <c r="B8" s="65">
        <f t="shared" ref="B8:B23" si="1">IF(E8&lt;&gt;"",ROW()-6,"")</f>
        <v>2</v>
      </c>
      <c r="C8" s="55" t="s">
        <v>519</v>
      </c>
      <c r="D8" s="55" t="s">
        <v>367</v>
      </c>
      <c r="E8" s="56" t="s">
        <v>137</v>
      </c>
      <c r="F8" s="56" t="s">
        <v>121</v>
      </c>
      <c r="G8" s="56" t="s">
        <v>136</v>
      </c>
      <c r="H8" s="81">
        <v>44681</v>
      </c>
      <c r="I8" s="131" t="s">
        <v>198</v>
      </c>
      <c r="J8" s="131" t="s">
        <v>155</v>
      </c>
      <c r="K8" s="131">
        <v>8</v>
      </c>
      <c r="L8" s="132">
        <v>2980000</v>
      </c>
      <c r="M8" s="133">
        <f t="shared" ref="M8:M10" si="2">K8*L8</f>
        <v>23840000</v>
      </c>
      <c r="N8" s="146">
        <v>44804</v>
      </c>
      <c r="O8" s="131" t="s">
        <v>351</v>
      </c>
      <c r="P8" s="111">
        <v>35000</v>
      </c>
      <c r="Q8" s="81">
        <v>44805</v>
      </c>
      <c r="R8" s="81">
        <v>45900</v>
      </c>
      <c r="S8" s="56">
        <v>36</v>
      </c>
      <c r="T8" s="111">
        <f t="shared" ref="T8:T11" si="3">K8*P8*S8</f>
        <v>10080000</v>
      </c>
      <c r="U8" s="140" t="s">
        <v>555</v>
      </c>
      <c r="V8" s="81"/>
      <c r="W8" s="56" t="s">
        <v>290</v>
      </c>
      <c r="X8" s="113" t="s">
        <v>291</v>
      </c>
      <c r="AA8" s="83"/>
    </row>
    <row r="9" spans="2:27" ht="27">
      <c r="B9" s="65">
        <f t="shared" si="1"/>
        <v>3</v>
      </c>
      <c r="C9" s="55" t="s">
        <v>520</v>
      </c>
      <c r="D9" s="55" t="s">
        <v>367</v>
      </c>
      <c r="E9" s="56" t="s">
        <v>137</v>
      </c>
      <c r="F9" s="56" t="s">
        <v>130</v>
      </c>
      <c r="G9" s="56" t="s">
        <v>128</v>
      </c>
      <c r="H9" s="81">
        <v>44681</v>
      </c>
      <c r="I9" s="131" t="s">
        <v>198</v>
      </c>
      <c r="J9" s="131" t="s">
        <v>155</v>
      </c>
      <c r="K9" s="131">
        <v>5</v>
      </c>
      <c r="L9" s="132">
        <v>3180000</v>
      </c>
      <c r="M9" s="133">
        <f t="shared" si="2"/>
        <v>15900000</v>
      </c>
      <c r="N9" s="146">
        <v>44804</v>
      </c>
      <c r="O9" s="131" t="s">
        <v>350</v>
      </c>
      <c r="P9" s="111">
        <v>35000</v>
      </c>
      <c r="Q9" s="81">
        <v>44805</v>
      </c>
      <c r="R9" s="81">
        <v>45900</v>
      </c>
      <c r="S9" s="56">
        <v>36</v>
      </c>
      <c r="T9" s="111">
        <f t="shared" si="3"/>
        <v>6300000</v>
      </c>
      <c r="U9" s="140" t="s">
        <v>555</v>
      </c>
      <c r="V9" s="81"/>
      <c r="W9" s="56" t="s">
        <v>293</v>
      </c>
      <c r="X9" s="113" t="s">
        <v>292</v>
      </c>
      <c r="AA9" s="83"/>
    </row>
    <row r="10" spans="2:27" ht="27">
      <c r="B10" s="65">
        <v>4</v>
      </c>
      <c r="C10" s="55" t="s">
        <v>521</v>
      </c>
      <c r="D10" s="55" t="s">
        <v>367</v>
      </c>
      <c r="E10" s="55" t="s">
        <v>137</v>
      </c>
      <c r="F10" s="55" t="s">
        <v>139</v>
      </c>
      <c r="G10" s="55"/>
      <c r="H10" s="81">
        <v>44681</v>
      </c>
      <c r="I10" s="134" t="s">
        <v>198</v>
      </c>
      <c r="J10" s="134" t="s">
        <v>155</v>
      </c>
      <c r="K10" s="134">
        <v>13</v>
      </c>
      <c r="L10" s="133">
        <v>35400</v>
      </c>
      <c r="M10" s="133">
        <f t="shared" si="2"/>
        <v>460200</v>
      </c>
      <c r="N10" s="146"/>
      <c r="O10" s="131"/>
      <c r="P10" s="112"/>
      <c r="Q10" s="81"/>
      <c r="R10" s="80"/>
      <c r="S10" s="55"/>
      <c r="T10" s="111"/>
      <c r="U10" s="140" t="s">
        <v>555</v>
      </c>
      <c r="V10" s="81"/>
      <c r="W10" s="55"/>
      <c r="X10" s="114"/>
      <c r="AA10" s="83"/>
    </row>
    <row r="11" spans="2:27" ht="24.6">
      <c r="B11" s="65">
        <f>IF(E11&lt;&gt;"",ROW()-6,"")</f>
        <v>5</v>
      </c>
      <c r="C11" s="55" t="s">
        <v>522</v>
      </c>
      <c r="D11" s="55" t="s">
        <v>372</v>
      </c>
      <c r="E11" s="55" t="s">
        <v>116</v>
      </c>
      <c r="F11" s="55" t="s">
        <v>330</v>
      </c>
      <c r="G11" s="55" t="s">
        <v>116</v>
      </c>
      <c r="H11" s="81">
        <v>44789</v>
      </c>
      <c r="I11" s="134" t="s">
        <v>198</v>
      </c>
      <c r="J11" s="134" t="s">
        <v>155</v>
      </c>
      <c r="K11" s="134">
        <v>3</v>
      </c>
      <c r="L11" s="133">
        <v>3150000</v>
      </c>
      <c r="M11" s="133">
        <f>K11*L11</f>
        <v>9450000</v>
      </c>
      <c r="N11" s="146">
        <v>44804</v>
      </c>
      <c r="O11" s="134" t="s">
        <v>348</v>
      </c>
      <c r="P11" s="112">
        <v>35000</v>
      </c>
      <c r="Q11" s="81">
        <v>44805</v>
      </c>
      <c r="R11" s="80" t="s">
        <v>556</v>
      </c>
      <c r="S11" s="55">
        <v>3</v>
      </c>
      <c r="T11" s="111">
        <f t="shared" si="3"/>
        <v>315000</v>
      </c>
      <c r="U11" s="139" t="s">
        <v>554</v>
      </c>
      <c r="V11" s="81"/>
      <c r="W11" s="55" t="s">
        <v>284</v>
      </c>
      <c r="X11" s="55" t="s">
        <v>286</v>
      </c>
      <c r="AA11" s="83"/>
    </row>
    <row r="12" spans="2:27" ht="24.6">
      <c r="B12" s="65">
        <f>IF(E12&lt;&gt;"",ROW()-6,"")</f>
        <v>6</v>
      </c>
      <c r="C12" s="55" t="s">
        <v>523</v>
      </c>
      <c r="D12" s="55" t="s">
        <v>372</v>
      </c>
      <c r="E12" s="55" t="s">
        <v>116</v>
      </c>
      <c r="F12" s="55" t="s">
        <v>330</v>
      </c>
      <c r="G12" s="55" t="s">
        <v>116</v>
      </c>
      <c r="H12" s="81">
        <v>44789</v>
      </c>
      <c r="I12" s="134" t="s">
        <v>198</v>
      </c>
      <c r="J12" s="134" t="s">
        <v>155</v>
      </c>
      <c r="K12" s="134">
        <v>3</v>
      </c>
      <c r="L12" s="133">
        <v>0</v>
      </c>
      <c r="M12" s="133">
        <f>K12*L12</f>
        <v>0</v>
      </c>
      <c r="N12" s="146">
        <v>44804</v>
      </c>
      <c r="O12" s="134" t="s">
        <v>348</v>
      </c>
      <c r="P12" s="112">
        <v>35000</v>
      </c>
      <c r="Q12" s="81">
        <v>44896</v>
      </c>
      <c r="R12" s="80">
        <v>44926</v>
      </c>
      <c r="S12" s="55">
        <v>1</v>
      </c>
      <c r="T12" s="111">
        <f t="shared" ref="T12:T18" si="4">K12*P12*S12</f>
        <v>105000</v>
      </c>
      <c r="U12" s="139" t="s">
        <v>554</v>
      </c>
      <c r="V12" s="81"/>
      <c r="W12" s="55" t="s">
        <v>284</v>
      </c>
      <c r="X12" s="55" t="s">
        <v>286</v>
      </c>
      <c r="AA12" s="83"/>
    </row>
    <row r="13" spans="2:27" ht="27">
      <c r="B13" s="65">
        <f t="shared" si="1"/>
        <v>7</v>
      </c>
      <c r="C13" s="55" t="s">
        <v>524</v>
      </c>
      <c r="D13" s="55" t="s">
        <v>383</v>
      </c>
      <c r="E13" s="56" t="s">
        <v>329</v>
      </c>
      <c r="F13" s="56" t="s">
        <v>231</v>
      </c>
      <c r="G13" s="56" t="s">
        <v>230</v>
      </c>
      <c r="H13" s="81">
        <v>45168</v>
      </c>
      <c r="I13" s="131" t="s">
        <v>197</v>
      </c>
      <c r="J13" s="131" t="s">
        <v>155</v>
      </c>
      <c r="K13" s="131">
        <v>3</v>
      </c>
      <c r="L13" s="132">
        <v>4433000</v>
      </c>
      <c r="M13" s="133">
        <f>K13*L13</f>
        <v>13299000</v>
      </c>
      <c r="N13" s="146">
        <v>45260</v>
      </c>
      <c r="O13" s="131" t="s">
        <v>352</v>
      </c>
      <c r="P13" s="111">
        <v>35000</v>
      </c>
      <c r="Q13" s="81">
        <v>45323</v>
      </c>
      <c r="R13" s="81">
        <v>46418</v>
      </c>
      <c r="S13" s="56">
        <v>36</v>
      </c>
      <c r="T13" s="111">
        <f t="shared" si="4"/>
        <v>3780000</v>
      </c>
      <c r="U13" s="140" t="s">
        <v>555</v>
      </c>
      <c r="V13" s="81"/>
      <c r="W13" s="56" t="s">
        <v>295</v>
      </c>
      <c r="X13" s="113" t="s">
        <v>294</v>
      </c>
      <c r="AA13" s="83"/>
    </row>
    <row r="14" spans="2:27" ht="27">
      <c r="B14" s="65">
        <f t="shared" si="1"/>
        <v>8</v>
      </c>
      <c r="C14" s="55" t="s">
        <v>525</v>
      </c>
      <c r="D14" s="55" t="s">
        <v>384</v>
      </c>
      <c r="E14" s="56" t="s">
        <v>147</v>
      </c>
      <c r="F14" s="56" t="s">
        <v>142</v>
      </c>
      <c r="G14" s="56" t="s">
        <v>147</v>
      </c>
      <c r="H14" s="81">
        <v>44986</v>
      </c>
      <c r="I14" s="131" t="s">
        <v>197</v>
      </c>
      <c r="J14" s="131" t="s">
        <v>155</v>
      </c>
      <c r="K14" s="131">
        <v>3</v>
      </c>
      <c r="L14" s="132">
        <v>4738333</v>
      </c>
      <c r="M14" s="132">
        <f>K14*L14</f>
        <v>14214999</v>
      </c>
      <c r="N14" s="146">
        <v>45015</v>
      </c>
      <c r="O14" s="131" t="s">
        <v>353</v>
      </c>
      <c r="P14" s="111">
        <v>35000</v>
      </c>
      <c r="Q14" s="81">
        <v>45036</v>
      </c>
      <c r="R14" s="81">
        <v>46142</v>
      </c>
      <c r="S14" s="56">
        <v>36</v>
      </c>
      <c r="T14" s="111">
        <f t="shared" si="4"/>
        <v>3780000</v>
      </c>
      <c r="U14" s="140" t="s">
        <v>555</v>
      </c>
      <c r="V14" s="81"/>
      <c r="W14" s="56" t="s">
        <v>347</v>
      </c>
      <c r="X14" s="113" t="s">
        <v>346</v>
      </c>
      <c r="AA14" s="83"/>
    </row>
    <row r="15" spans="2:27" ht="27">
      <c r="B15" s="65">
        <f t="shared" ref="B15" si="5">IF(E15&lt;&gt;"",ROW()-6,"")</f>
        <v>9</v>
      </c>
      <c r="C15" s="55" t="s">
        <v>526</v>
      </c>
      <c r="D15" s="55" t="s">
        <v>384</v>
      </c>
      <c r="E15" s="56" t="s">
        <v>147</v>
      </c>
      <c r="F15" s="56" t="s">
        <v>142</v>
      </c>
      <c r="G15" s="56" t="s">
        <v>147</v>
      </c>
      <c r="H15" s="81">
        <v>44986</v>
      </c>
      <c r="I15" s="131" t="s">
        <v>198</v>
      </c>
      <c r="J15" s="131" t="s">
        <v>155</v>
      </c>
      <c r="K15" s="131">
        <v>3</v>
      </c>
      <c r="L15" s="132">
        <v>4738333</v>
      </c>
      <c r="M15" s="132">
        <f>K15*L15</f>
        <v>14214999</v>
      </c>
      <c r="N15" s="146">
        <v>45015</v>
      </c>
      <c r="O15" s="131" t="s">
        <v>354</v>
      </c>
      <c r="P15" s="111">
        <v>35000</v>
      </c>
      <c r="Q15" s="81">
        <v>45036</v>
      </c>
      <c r="R15" s="81">
        <v>46142</v>
      </c>
      <c r="S15" s="56">
        <v>36</v>
      </c>
      <c r="T15" s="111">
        <f t="shared" si="4"/>
        <v>3780000</v>
      </c>
      <c r="U15" s="140" t="s">
        <v>555</v>
      </c>
      <c r="V15" s="81"/>
      <c r="W15" s="56" t="s">
        <v>347</v>
      </c>
      <c r="X15" s="113" t="s">
        <v>346</v>
      </c>
      <c r="AA15" s="83"/>
    </row>
    <row r="16" spans="2:27" ht="27">
      <c r="B16" s="65">
        <f t="shared" si="1"/>
        <v>10</v>
      </c>
      <c r="C16" s="55" t="s">
        <v>527</v>
      </c>
      <c r="D16" s="55" t="s">
        <v>385</v>
      </c>
      <c r="E16" s="56" t="s">
        <v>117</v>
      </c>
      <c r="F16" s="56" t="s">
        <v>118</v>
      </c>
      <c r="G16" s="56" t="s">
        <v>117</v>
      </c>
      <c r="H16" s="81">
        <v>45047</v>
      </c>
      <c r="I16" s="131" t="s">
        <v>197</v>
      </c>
      <c r="J16" s="131" t="s">
        <v>155</v>
      </c>
      <c r="K16" s="131">
        <v>1</v>
      </c>
      <c r="L16" s="132">
        <v>3200000</v>
      </c>
      <c r="M16" s="132">
        <f>K16*L16</f>
        <v>3200000</v>
      </c>
      <c r="N16" s="146">
        <v>45106</v>
      </c>
      <c r="O16" s="131" t="s">
        <v>355</v>
      </c>
      <c r="P16" s="111">
        <v>35000</v>
      </c>
      <c r="Q16" s="81">
        <v>45108</v>
      </c>
      <c r="R16" s="81">
        <v>45474</v>
      </c>
      <c r="S16" s="56">
        <v>12</v>
      </c>
      <c r="T16" s="111">
        <f t="shared" si="4"/>
        <v>420000</v>
      </c>
      <c r="U16" s="140" t="s">
        <v>555</v>
      </c>
      <c r="V16" s="56"/>
      <c r="W16" s="56" t="s">
        <v>282</v>
      </c>
      <c r="X16" s="113" t="s">
        <v>283</v>
      </c>
      <c r="AA16" s="83"/>
    </row>
    <row r="17" spans="2:27" ht="27">
      <c r="B17" s="65">
        <f t="shared" ref="B17" si="6">IF(E17&lt;&gt;"",ROW()-6,"")</f>
        <v>11</v>
      </c>
      <c r="C17" s="55" t="s">
        <v>528</v>
      </c>
      <c r="D17" s="55" t="s">
        <v>386</v>
      </c>
      <c r="E17" s="56" t="s">
        <v>201</v>
      </c>
      <c r="F17" s="56" t="s">
        <v>331</v>
      </c>
      <c r="G17" s="56" t="s">
        <v>201</v>
      </c>
      <c r="H17" s="81">
        <v>40179</v>
      </c>
      <c r="I17" s="131" t="s">
        <v>197</v>
      </c>
      <c r="J17" s="131" t="s">
        <v>155</v>
      </c>
      <c r="K17" s="131">
        <v>1</v>
      </c>
      <c r="L17" s="132">
        <v>2372000</v>
      </c>
      <c r="M17" s="132">
        <f>K17*L17</f>
        <v>2372000</v>
      </c>
      <c r="N17" s="146">
        <v>45606</v>
      </c>
      <c r="O17" s="131" t="s">
        <v>202</v>
      </c>
      <c r="P17" s="111">
        <v>35000</v>
      </c>
      <c r="Q17" s="81">
        <v>45597</v>
      </c>
      <c r="R17" s="81">
        <v>46691</v>
      </c>
      <c r="S17" s="56">
        <v>36</v>
      </c>
      <c r="T17" s="111">
        <f t="shared" ref="T17" si="7">K17*P17*S17</f>
        <v>1260000</v>
      </c>
      <c r="U17" s="140" t="s">
        <v>555</v>
      </c>
      <c r="V17" s="56"/>
      <c r="W17" s="56" t="s">
        <v>281</v>
      </c>
      <c r="X17" s="113">
        <v>1218110385</v>
      </c>
      <c r="AA17" s="83"/>
    </row>
    <row r="18" spans="2:27" ht="27">
      <c r="B18" s="65">
        <f t="shared" si="1"/>
        <v>12</v>
      </c>
      <c r="C18" s="55" t="s">
        <v>529</v>
      </c>
      <c r="D18" s="55" t="s">
        <v>386</v>
      </c>
      <c r="E18" s="56" t="s">
        <v>201</v>
      </c>
      <c r="F18" s="56" t="s">
        <v>331</v>
      </c>
      <c r="G18" s="56" t="s">
        <v>201</v>
      </c>
      <c r="H18" s="81">
        <v>40179</v>
      </c>
      <c r="I18" s="131" t="s">
        <v>598</v>
      </c>
      <c r="J18" s="131" t="s">
        <v>264</v>
      </c>
      <c r="K18" s="131">
        <v>1</v>
      </c>
      <c r="L18" s="132">
        <v>0</v>
      </c>
      <c r="M18" s="132">
        <f>K18*L18</f>
        <v>0</v>
      </c>
      <c r="N18" s="146">
        <v>45606</v>
      </c>
      <c r="O18" s="131" t="s">
        <v>602</v>
      </c>
      <c r="P18" s="111">
        <v>38000</v>
      </c>
      <c r="Q18" s="81">
        <v>45597</v>
      </c>
      <c r="R18" s="81">
        <v>46691</v>
      </c>
      <c r="S18" s="56">
        <v>36</v>
      </c>
      <c r="T18" s="111">
        <f t="shared" si="4"/>
        <v>1368000</v>
      </c>
      <c r="U18" s="140" t="s">
        <v>555</v>
      </c>
      <c r="V18" s="56"/>
      <c r="W18" s="56" t="s">
        <v>281</v>
      </c>
      <c r="X18" s="113">
        <v>1218110385</v>
      </c>
      <c r="AA18" s="83"/>
    </row>
    <row r="19" spans="2:27" ht="27">
      <c r="B19" s="65">
        <f t="shared" si="1"/>
        <v>13</v>
      </c>
      <c r="C19" s="55" t="s">
        <v>530</v>
      </c>
      <c r="D19" s="55" t="s">
        <v>387</v>
      </c>
      <c r="E19" s="56" t="s">
        <v>67</v>
      </c>
      <c r="F19" s="56" t="s">
        <v>149</v>
      </c>
      <c r="G19" s="56" t="s">
        <v>67</v>
      </c>
      <c r="H19" s="81">
        <v>45631</v>
      </c>
      <c r="I19" s="131" t="s">
        <v>197</v>
      </c>
      <c r="J19" s="131" t="s">
        <v>155</v>
      </c>
      <c r="K19" s="131">
        <v>3</v>
      </c>
      <c r="L19" s="132">
        <v>3444666</v>
      </c>
      <c r="M19" s="132">
        <f>K19*L19</f>
        <v>10333998</v>
      </c>
      <c r="N19" s="146">
        <v>45645</v>
      </c>
      <c r="O19" s="131" t="s">
        <v>357</v>
      </c>
      <c r="P19" s="111">
        <v>35000</v>
      </c>
      <c r="Q19" s="81">
        <v>45658</v>
      </c>
      <c r="R19" s="81">
        <v>46022</v>
      </c>
      <c r="S19" s="56">
        <v>12</v>
      </c>
      <c r="T19" s="111">
        <f t="shared" ref="T19:T23" si="8">K19*P19*S19</f>
        <v>1260000</v>
      </c>
      <c r="U19" s="140" t="s">
        <v>555</v>
      </c>
      <c r="V19" s="56"/>
      <c r="W19" s="56" t="s">
        <v>296</v>
      </c>
      <c r="X19" s="113" t="s">
        <v>297</v>
      </c>
    </row>
    <row r="20" spans="2:27" ht="27">
      <c r="B20" s="65">
        <f t="shared" ref="B20:B21" si="9">IF(E20&lt;&gt;"",ROW()-6,"")</f>
        <v>14</v>
      </c>
      <c r="C20" s="55" t="s">
        <v>531</v>
      </c>
      <c r="D20" s="55" t="s">
        <v>387</v>
      </c>
      <c r="E20" s="56" t="s">
        <v>67</v>
      </c>
      <c r="F20" s="56" t="s">
        <v>149</v>
      </c>
      <c r="G20" s="56" t="s">
        <v>67</v>
      </c>
      <c r="H20" s="81">
        <v>45631</v>
      </c>
      <c r="I20" s="131" t="s">
        <v>598</v>
      </c>
      <c r="J20" s="131" t="s">
        <v>252</v>
      </c>
      <c r="K20" s="131">
        <v>1</v>
      </c>
      <c r="L20" s="132">
        <v>250000</v>
      </c>
      <c r="M20" s="132">
        <f>K20*L20</f>
        <v>250000</v>
      </c>
      <c r="N20" s="146">
        <v>45645</v>
      </c>
      <c r="O20" s="131" t="s">
        <v>239</v>
      </c>
      <c r="P20" s="111">
        <v>38000</v>
      </c>
      <c r="Q20" s="81">
        <v>45645</v>
      </c>
      <c r="R20" s="81">
        <v>45991</v>
      </c>
      <c r="S20" s="56">
        <v>12</v>
      </c>
      <c r="T20" s="111">
        <f t="shared" ref="T20:T21" si="10">K20*P20*S20</f>
        <v>456000</v>
      </c>
      <c r="U20" s="140" t="s">
        <v>555</v>
      </c>
      <c r="V20" s="56"/>
      <c r="W20" s="56" t="s">
        <v>296</v>
      </c>
      <c r="X20" s="113" t="s">
        <v>297</v>
      </c>
    </row>
    <row r="21" spans="2:27" ht="27">
      <c r="B21" s="65">
        <f t="shared" si="9"/>
        <v>15</v>
      </c>
      <c r="C21" s="55" t="s">
        <v>597</v>
      </c>
      <c r="D21" s="55" t="s">
        <v>388</v>
      </c>
      <c r="E21" s="56" t="s">
        <v>288</v>
      </c>
      <c r="F21" s="56" t="s">
        <v>123</v>
      </c>
      <c r="G21" s="56" t="s">
        <v>288</v>
      </c>
      <c r="H21" s="81">
        <v>45649</v>
      </c>
      <c r="I21" s="131" t="s">
        <v>344</v>
      </c>
      <c r="J21" s="131" t="s">
        <v>345</v>
      </c>
      <c r="K21" s="131">
        <v>3</v>
      </c>
      <c r="L21" s="132">
        <v>11534000</v>
      </c>
      <c r="M21" s="132">
        <f t="shared" ref="M21:M24" si="11">K21*L21</f>
        <v>34602000</v>
      </c>
      <c r="N21" s="146"/>
      <c r="O21" s="131" t="s">
        <v>356</v>
      </c>
      <c r="P21" s="111">
        <v>35000</v>
      </c>
      <c r="Q21" s="81">
        <v>45870</v>
      </c>
      <c r="R21" s="81">
        <v>46965</v>
      </c>
      <c r="S21" s="56">
        <v>36</v>
      </c>
      <c r="T21" s="111">
        <f t="shared" si="10"/>
        <v>3780000</v>
      </c>
      <c r="U21" s="140" t="s">
        <v>555</v>
      </c>
      <c r="V21" s="56"/>
      <c r="W21" s="56" t="s">
        <v>289</v>
      </c>
      <c r="X21" s="113" t="s">
        <v>287</v>
      </c>
    </row>
    <row r="22" spans="2:27" ht="27">
      <c r="B22" s="65">
        <f t="shared" si="1"/>
        <v>16</v>
      </c>
      <c r="C22" s="55" t="s">
        <v>600</v>
      </c>
      <c r="D22" s="55" t="s">
        <v>388</v>
      </c>
      <c r="E22" s="56" t="s">
        <v>288</v>
      </c>
      <c r="F22" s="56" t="s">
        <v>123</v>
      </c>
      <c r="G22" s="56" t="s">
        <v>288</v>
      </c>
      <c r="H22" s="81">
        <v>45649</v>
      </c>
      <c r="I22" s="131" t="s">
        <v>598</v>
      </c>
      <c r="J22" s="131" t="s">
        <v>252</v>
      </c>
      <c r="K22" s="131">
        <v>1</v>
      </c>
      <c r="L22" s="132">
        <v>250000</v>
      </c>
      <c r="M22" s="132">
        <f t="shared" si="11"/>
        <v>250000</v>
      </c>
      <c r="N22" s="146"/>
      <c r="O22" s="131" t="s">
        <v>244</v>
      </c>
      <c r="P22" s="111">
        <v>38000</v>
      </c>
      <c r="Q22" s="81">
        <v>45870</v>
      </c>
      <c r="R22" s="81">
        <v>46965</v>
      </c>
      <c r="S22" s="56">
        <v>36</v>
      </c>
      <c r="T22" s="111">
        <f t="shared" si="8"/>
        <v>1368000</v>
      </c>
      <c r="U22" s="140" t="s">
        <v>555</v>
      </c>
      <c r="V22" s="56"/>
      <c r="W22" s="56" t="s">
        <v>289</v>
      </c>
      <c r="X22" s="113" t="s">
        <v>287</v>
      </c>
    </row>
    <row r="23" spans="2:27" ht="27">
      <c r="B23" s="65">
        <f t="shared" si="1"/>
        <v>17</v>
      </c>
      <c r="C23" s="55" t="s">
        <v>604</v>
      </c>
      <c r="D23" s="55" t="s">
        <v>389</v>
      </c>
      <c r="E23" s="56" t="s">
        <v>67</v>
      </c>
      <c r="F23" s="56" t="s">
        <v>149</v>
      </c>
      <c r="G23" s="56" t="s">
        <v>67</v>
      </c>
      <c r="H23" s="81">
        <v>45656</v>
      </c>
      <c r="I23" s="131" t="s">
        <v>197</v>
      </c>
      <c r="J23" s="131" t="s">
        <v>155</v>
      </c>
      <c r="K23" s="131">
        <v>7</v>
      </c>
      <c r="L23" s="132">
        <v>3490857</v>
      </c>
      <c r="M23" s="132">
        <f t="shared" si="11"/>
        <v>24435999</v>
      </c>
      <c r="N23" s="146">
        <v>45694</v>
      </c>
      <c r="O23" s="131" t="s">
        <v>358</v>
      </c>
      <c r="P23" s="111">
        <v>35000</v>
      </c>
      <c r="Q23" s="81">
        <v>45717</v>
      </c>
      <c r="R23" s="81">
        <v>45716</v>
      </c>
      <c r="S23" s="56">
        <v>12</v>
      </c>
      <c r="T23" s="111">
        <f t="shared" si="8"/>
        <v>2940000</v>
      </c>
      <c r="U23" s="140" t="s">
        <v>555</v>
      </c>
      <c r="V23" s="56"/>
      <c r="W23" s="56" t="s">
        <v>296</v>
      </c>
      <c r="X23" s="113" t="s">
        <v>297</v>
      </c>
    </row>
    <row r="24" spans="2:27" ht="27">
      <c r="B24" s="65">
        <f t="shared" ref="B24" si="12">IF(E24&lt;&gt;"",ROW()-6,"")</f>
        <v>18</v>
      </c>
      <c r="C24" s="55" t="s">
        <v>605</v>
      </c>
      <c r="D24" s="55" t="s">
        <v>389</v>
      </c>
      <c r="E24" s="56" t="s">
        <v>67</v>
      </c>
      <c r="F24" s="56" t="s">
        <v>149</v>
      </c>
      <c r="G24" s="56" t="s">
        <v>67</v>
      </c>
      <c r="H24" s="81">
        <v>45656</v>
      </c>
      <c r="I24" s="131" t="s">
        <v>598</v>
      </c>
      <c r="J24" s="131" t="s">
        <v>252</v>
      </c>
      <c r="K24" s="131">
        <v>4</v>
      </c>
      <c r="L24" s="132">
        <v>250000</v>
      </c>
      <c r="M24" s="132">
        <f t="shared" si="11"/>
        <v>1000000</v>
      </c>
      <c r="N24" s="146">
        <v>45694</v>
      </c>
      <c r="O24" s="131" t="s">
        <v>603</v>
      </c>
      <c r="P24" s="111">
        <v>38000</v>
      </c>
      <c r="Q24" s="81">
        <v>45717</v>
      </c>
      <c r="R24" s="81">
        <v>45716</v>
      </c>
      <c r="S24" s="56">
        <v>12</v>
      </c>
      <c r="T24" s="111">
        <f t="shared" ref="T24" si="13">K24*P24*S24</f>
        <v>1824000</v>
      </c>
      <c r="U24" s="140" t="s">
        <v>555</v>
      </c>
      <c r="V24" s="56"/>
      <c r="W24" s="56" t="s">
        <v>296</v>
      </c>
      <c r="X24" s="113" t="s">
        <v>297</v>
      </c>
    </row>
    <row r="25" spans="2:27">
      <c r="B25" s="65"/>
      <c r="C25" s="56"/>
      <c r="D25" s="56"/>
      <c r="E25" s="56"/>
      <c r="F25" s="56"/>
      <c r="G25" s="56"/>
      <c r="H25" s="81"/>
      <c r="I25" s="131"/>
      <c r="J25" s="131"/>
      <c r="K25" s="131"/>
      <c r="L25" s="132"/>
      <c r="M25" s="132"/>
      <c r="N25" s="146"/>
      <c r="O25" s="131"/>
      <c r="P25" s="111"/>
      <c r="Q25" s="56"/>
      <c r="R25" s="56"/>
      <c r="S25" s="56"/>
      <c r="T25" s="111"/>
      <c r="U25" s="56"/>
      <c r="V25" s="56"/>
      <c r="W25" s="56"/>
      <c r="X25" s="56"/>
    </row>
    <row r="26" spans="2:27">
      <c r="B26" s="65"/>
      <c r="C26" s="56"/>
      <c r="D26" s="56"/>
      <c r="E26" s="56"/>
      <c r="F26" s="56"/>
      <c r="G26" s="56"/>
      <c r="H26" s="81"/>
      <c r="I26" s="131"/>
      <c r="J26" s="131"/>
      <c r="K26" s="131"/>
      <c r="L26" s="132"/>
      <c r="M26" s="132"/>
      <c r="N26" s="146"/>
      <c r="O26" s="131"/>
      <c r="P26" s="111"/>
      <c r="Q26" s="56"/>
      <c r="R26" s="56"/>
      <c r="S26" s="56"/>
      <c r="T26" s="111"/>
      <c r="U26" s="56"/>
      <c r="V26" s="56"/>
      <c r="W26" s="56"/>
      <c r="X26" s="56"/>
    </row>
    <row r="27" spans="2:27">
      <c r="B27" s="65"/>
      <c r="C27" s="56"/>
      <c r="D27" s="56"/>
      <c r="E27" s="56"/>
      <c r="F27" s="56"/>
      <c r="G27" s="56"/>
      <c r="H27" s="81"/>
      <c r="I27" s="131"/>
      <c r="J27" s="131"/>
      <c r="K27" s="131"/>
      <c r="L27" s="132"/>
      <c r="M27" s="132"/>
      <c r="N27" s="146"/>
      <c r="O27" s="131"/>
      <c r="P27" s="111"/>
      <c r="Q27" s="56"/>
      <c r="R27" s="56"/>
      <c r="S27" s="56"/>
      <c r="T27" s="111"/>
      <c r="U27" s="56"/>
      <c r="V27" s="56"/>
      <c r="W27" s="56"/>
      <c r="X27" s="56"/>
    </row>
    <row r="28" spans="2:27">
      <c r="B28" s="65"/>
      <c r="C28" s="56"/>
      <c r="D28" s="56"/>
      <c r="E28" s="56"/>
      <c r="F28" s="56"/>
      <c r="G28" s="56"/>
      <c r="H28" s="81"/>
      <c r="I28" s="131"/>
      <c r="J28" s="131"/>
      <c r="K28" s="131"/>
      <c r="L28" s="132"/>
      <c r="M28" s="132"/>
      <c r="N28" s="146"/>
      <c r="O28" s="131"/>
      <c r="P28" s="111"/>
      <c r="Q28" s="56"/>
      <c r="R28" s="56"/>
      <c r="S28" s="56"/>
      <c r="T28" s="111"/>
      <c r="U28" s="56"/>
      <c r="V28" s="56"/>
      <c r="W28" s="56"/>
      <c r="X28" s="56"/>
    </row>
    <row r="29" spans="2:27">
      <c r="B29" s="65"/>
      <c r="C29" s="56"/>
      <c r="D29" s="56"/>
      <c r="E29" s="56"/>
      <c r="F29" s="56"/>
      <c r="G29" s="56"/>
      <c r="H29" s="81"/>
      <c r="I29" s="131"/>
      <c r="J29" s="131"/>
      <c r="K29" s="131"/>
      <c r="L29" s="132"/>
      <c r="M29" s="132"/>
      <c r="N29" s="146"/>
      <c r="O29" s="131"/>
      <c r="P29" s="111"/>
      <c r="Q29" s="56"/>
      <c r="R29" s="56"/>
      <c r="S29" s="56"/>
      <c r="T29" s="111"/>
      <c r="U29" s="56"/>
      <c r="V29" s="56"/>
      <c r="W29" s="56"/>
      <c r="X29" s="56"/>
    </row>
    <row r="30" spans="2:27">
      <c r="B30" s="65"/>
      <c r="C30" s="56"/>
      <c r="D30" s="56"/>
      <c r="E30" s="56"/>
      <c r="F30" s="56"/>
      <c r="G30" s="56"/>
      <c r="H30" s="81"/>
      <c r="I30" s="131"/>
      <c r="J30" s="131"/>
      <c r="K30" s="131"/>
      <c r="L30" s="132"/>
      <c r="M30" s="132"/>
      <c r="N30" s="146"/>
      <c r="O30" s="131"/>
      <c r="P30" s="111"/>
      <c r="Q30" s="56"/>
      <c r="R30" s="56"/>
      <c r="S30" s="56"/>
      <c r="T30" s="111"/>
      <c r="U30" s="56"/>
      <c r="V30" s="56"/>
      <c r="W30" s="56"/>
      <c r="X30" s="56"/>
    </row>
    <row r="31" spans="2:27">
      <c r="B31" s="65"/>
      <c r="C31" s="56"/>
      <c r="D31" s="56"/>
      <c r="E31" s="56"/>
      <c r="F31" s="56"/>
      <c r="G31" s="56"/>
      <c r="H31" s="81"/>
      <c r="I31" s="131"/>
      <c r="J31" s="131"/>
      <c r="K31" s="131"/>
      <c r="L31" s="132"/>
      <c r="M31" s="132"/>
      <c r="N31" s="146"/>
      <c r="O31" s="131"/>
      <c r="P31" s="111"/>
      <c r="Q31" s="56"/>
      <c r="R31" s="56"/>
      <c r="S31" s="56"/>
      <c r="T31" s="111"/>
      <c r="U31" s="56"/>
      <c r="V31" s="56"/>
      <c r="W31" s="56"/>
      <c r="X31" s="56"/>
    </row>
    <row r="32" spans="2:27">
      <c r="B32" s="65"/>
      <c r="C32" s="56"/>
      <c r="D32" s="56"/>
      <c r="E32" s="56"/>
      <c r="F32" s="56"/>
      <c r="G32" s="56"/>
      <c r="H32" s="81"/>
      <c r="I32" s="131"/>
      <c r="J32" s="131"/>
      <c r="K32" s="131"/>
      <c r="L32" s="132"/>
      <c r="M32" s="132"/>
      <c r="N32" s="146"/>
      <c r="O32" s="131"/>
      <c r="P32" s="111"/>
      <c r="Q32" s="56"/>
      <c r="R32" s="56"/>
      <c r="S32" s="56"/>
      <c r="T32" s="111"/>
      <c r="U32" s="56"/>
      <c r="V32" s="56"/>
      <c r="W32" s="56"/>
      <c r="X32" s="56"/>
    </row>
    <row r="33" spans="2:24">
      <c r="B33" s="65"/>
      <c r="C33" s="56"/>
      <c r="D33" s="56"/>
      <c r="E33" s="56"/>
      <c r="F33" s="56"/>
      <c r="G33" s="56"/>
      <c r="H33" s="81"/>
      <c r="I33" s="131"/>
      <c r="J33" s="131"/>
      <c r="K33" s="131"/>
      <c r="L33" s="132"/>
      <c r="M33" s="132"/>
      <c r="N33" s="146"/>
      <c r="O33" s="131"/>
      <c r="P33" s="111"/>
      <c r="Q33" s="56"/>
      <c r="R33" s="56"/>
      <c r="S33" s="56"/>
      <c r="T33" s="111"/>
      <c r="U33" s="56"/>
      <c r="V33" s="56"/>
      <c r="W33" s="56"/>
      <c r="X33" s="56"/>
    </row>
    <row r="34" spans="2:24">
      <c r="B34" s="65"/>
      <c r="C34" s="56"/>
      <c r="D34" s="56"/>
      <c r="E34" s="56"/>
      <c r="F34" s="56"/>
      <c r="G34" s="56"/>
      <c r="H34" s="81"/>
      <c r="I34" s="131"/>
      <c r="J34" s="131"/>
      <c r="K34" s="131"/>
      <c r="L34" s="132"/>
      <c r="M34" s="132"/>
      <c r="N34" s="146"/>
      <c r="O34" s="131"/>
      <c r="P34" s="111"/>
      <c r="Q34" s="56"/>
      <c r="R34" s="56"/>
      <c r="S34" s="56"/>
      <c r="T34" s="111"/>
      <c r="U34" s="56"/>
      <c r="V34" s="56"/>
      <c r="W34" s="56"/>
      <c r="X34" s="56"/>
    </row>
    <row r="35" spans="2:24">
      <c r="B35" s="65"/>
      <c r="C35" s="56"/>
      <c r="D35" s="56"/>
      <c r="E35" s="56"/>
      <c r="F35" s="56"/>
      <c r="G35" s="56"/>
      <c r="H35" s="81"/>
      <c r="I35" s="131"/>
      <c r="J35" s="131"/>
      <c r="K35" s="131"/>
      <c r="L35" s="132"/>
      <c r="M35" s="132"/>
      <c r="N35" s="146"/>
      <c r="O35" s="131"/>
      <c r="P35" s="111"/>
      <c r="Q35" s="56"/>
      <c r="R35" s="56"/>
      <c r="S35" s="56"/>
      <c r="T35" s="111"/>
      <c r="U35" s="56"/>
      <c r="V35" s="56"/>
      <c r="W35" s="56"/>
      <c r="X35" s="56"/>
    </row>
    <row r="36" spans="2:24">
      <c r="B36" s="65"/>
      <c r="C36" s="56"/>
      <c r="D36" s="56"/>
      <c r="E36" s="56"/>
      <c r="F36" s="56"/>
      <c r="G36" s="56"/>
      <c r="H36" s="81"/>
      <c r="I36" s="131"/>
      <c r="J36" s="131"/>
      <c r="K36" s="131"/>
      <c r="L36" s="132"/>
      <c r="M36" s="132"/>
      <c r="N36" s="146"/>
      <c r="O36" s="131"/>
      <c r="P36" s="111"/>
      <c r="Q36" s="56"/>
      <c r="R36" s="56"/>
      <c r="S36" s="56"/>
      <c r="T36" s="111"/>
      <c r="U36" s="56"/>
      <c r="V36" s="56"/>
      <c r="W36" s="56"/>
      <c r="X36" s="56"/>
    </row>
    <row r="37" spans="2:24">
      <c r="B37" s="65"/>
      <c r="C37" s="56"/>
      <c r="D37" s="56"/>
      <c r="E37" s="56"/>
      <c r="F37" s="56"/>
      <c r="G37" s="56"/>
      <c r="H37" s="81"/>
      <c r="I37" s="131"/>
      <c r="J37" s="131"/>
      <c r="K37" s="131"/>
      <c r="L37" s="132"/>
      <c r="M37" s="132"/>
      <c r="N37" s="146"/>
      <c r="O37" s="131"/>
      <c r="P37" s="111"/>
      <c r="Q37" s="56"/>
      <c r="R37" s="56"/>
      <c r="S37" s="56"/>
      <c r="T37" s="111"/>
      <c r="U37" s="56"/>
      <c r="V37" s="56"/>
      <c r="W37" s="56"/>
      <c r="X37" s="56"/>
    </row>
    <row r="38" spans="2:24">
      <c r="B38" s="65"/>
      <c r="C38" s="56"/>
      <c r="D38" s="56"/>
      <c r="E38" s="56"/>
      <c r="F38" s="56"/>
      <c r="G38" s="56"/>
      <c r="H38" s="81"/>
      <c r="I38" s="131"/>
      <c r="J38" s="131"/>
      <c r="K38" s="131"/>
      <c r="L38" s="132"/>
      <c r="M38" s="132"/>
      <c r="N38" s="146"/>
      <c r="O38" s="131"/>
      <c r="P38" s="111"/>
      <c r="Q38" s="56"/>
      <c r="R38" s="56"/>
      <c r="S38" s="56"/>
      <c r="T38" s="111"/>
      <c r="U38" s="56"/>
      <c r="V38" s="56"/>
      <c r="W38" s="56"/>
      <c r="X38" s="56"/>
    </row>
    <row r="39" spans="2:24">
      <c r="B39" s="65"/>
      <c r="C39" s="56"/>
      <c r="D39" s="56"/>
      <c r="E39" s="56"/>
      <c r="F39" s="56"/>
      <c r="G39" s="56"/>
      <c r="H39" s="81"/>
      <c r="I39" s="131"/>
      <c r="J39" s="131"/>
      <c r="K39" s="131"/>
      <c r="L39" s="132"/>
      <c r="M39" s="132"/>
      <c r="N39" s="146"/>
      <c r="O39" s="131"/>
      <c r="P39" s="111"/>
      <c r="Q39" s="56"/>
      <c r="R39" s="56"/>
      <c r="S39" s="56"/>
      <c r="T39" s="111"/>
      <c r="U39" s="56"/>
      <c r="V39" s="56"/>
      <c r="W39" s="56"/>
      <c r="X39" s="56"/>
    </row>
    <row r="40" spans="2:24">
      <c r="B40" s="65"/>
      <c r="C40" s="56"/>
      <c r="D40" s="56"/>
      <c r="E40" s="56"/>
      <c r="F40" s="56"/>
      <c r="G40" s="56"/>
      <c r="H40" s="81"/>
      <c r="I40" s="131"/>
      <c r="J40" s="131"/>
      <c r="K40" s="131"/>
      <c r="L40" s="132"/>
      <c r="M40" s="132"/>
      <c r="N40" s="146"/>
      <c r="O40" s="131"/>
      <c r="P40" s="111"/>
      <c r="Q40" s="56"/>
      <c r="R40" s="56"/>
      <c r="S40" s="56"/>
      <c r="T40" s="111"/>
      <c r="U40" s="56"/>
      <c r="V40" s="56"/>
      <c r="W40" s="56"/>
      <c r="X40" s="56"/>
    </row>
    <row r="41" spans="2:24">
      <c r="B41" s="65"/>
      <c r="C41" s="56"/>
      <c r="D41" s="56"/>
      <c r="E41" s="56"/>
      <c r="F41" s="56"/>
      <c r="G41" s="56"/>
      <c r="H41" s="81"/>
      <c r="I41" s="131"/>
      <c r="J41" s="131"/>
      <c r="K41" s="131"/>
      <c r="L41" s="132"/>
      <c r="M41" s="132"/>
      <c r="N41" s="146"/>
      <c r="O41" s="131"/>
      <c r="P41" s="111"/>
      <c r="Q41" s="56"/>
      <c r="R41" s="56"/>
      <c r="S41" s="56"/>
      <c r="T41" s="111"/>
      <c r="U41" s="56"/>
      <c r="V41" s="56"/>
      <c r="W41" s="56"/>
      <c r="X41" s="56"/>
    </row>
    <row r="42" spans="2:24">
      <c r="B42" s="65"/>
      <c r="C42" s="56"/>
      <c r="D42" s="56"/>
      <c r="E42" s="56"/>
      <c r="F42" s="56"/>
      <c r="G42" s="56"/>
      <c r="H42" s="81"/>
      <c r="I42" s="131"/>
      <c r="J42" s="131"/>
      <c r="K42" s="131"/>
      <c r="L42" s="132"/>
      <c r="M42" s="132"/>
      <c r="N42" s="146"/>
      <c r="O42" s="131"/>
      <c r="P42" s="111"/>
      <c r="Q42" s="56"/>
      <c r="R42" s="56"/>
      <c r="S42" s="56"/>
      <c r="T42" s="111"/>
      <c r="U42" s="56"/>
      <c r="V42" s="56"/>
      <c r="W42" s="56"/>
      <c r="X42" s="56"/>
    </row>
    <row r="43" spans="2:24">
      <c r="B43" s="65"/>
      <c r="C43" s="56"/>
      <c r="D43" s="56"/>
      <c r="E43" s="56"/>
      <c r="F43" s="56"/>
      <c r="G43" s="56"/>
      <c r="H43" s="81"/>
      <c r="I43" s="131"/>
      <c r="J43" s="131"/>
      <c r="K43" s="131"/>
      <c r="L43" s="132"/>
      <c r="M43" s="132"/>
      <c r="N43" s="146"/>
      <c r="O43" s="131"/>
      <c r="P43" s="111"/>
      <c r="Q43" s="56"/>
      <c r="R43" s="56"/>
      <c r="S43" s="56"/>
      <c r="T43" s="111"/>
      <c r="U43" s="56"/>
      <c r="V43" s="56"/>
      <c r="W43" s="56"/>
      <c r="X43" s="56"/>
    </row>
    <row r="44" spans="2:24">
      <c r="B44" s="65"/>
      <c r="C44" s="56"/>
      <c r="D44" s="56"/>
      <c r="E44" s="56"/>
      <c r="F44" s="56"/>
      <c r="G44" s="56"/>
      <c r="H44" s="81"/>
      <c r="I44" s="131"/>
      <c r="J44" s="131"/>
      <c r="K44" s="131"/>
      <c r="L44" s="132"/>
      <c r="M44" s="132"/>
      <c r="N44" s="146"/>
      <c r="O44" s="131"/>
      <c r="P44" s="111"/>
      <c r="Q44" s="56"/>
      <c r="R44" s="56"/>
      <c r="S44" s="56"/>
      <c r="T44" s="111"/>
      <c r="U44" s="56"/>
      <c r="V44" s="56"/>
      <c r="W44" s="56"/>
      <c r="X44" s="56"/>
    </row>
    <row r="45" spans="2:24">
      <c r="B45" s="65"/>
      <c r="C45" s="56"/>
      <c r="D45" s="56"/>
      <c r="E45" s="56"/>
      <c r="F45" s="56"/>
      <c r="G45" s="56"/>
      <c r="H45" s="81"/>
      <c r="I45" s="131"/>
      <c r="J45" s="131"/>
      <c r="K45" s="131"/>
      <c r="L45" s="132"/>
      <c r="M45" s="132"/>
      <c r="N45" s="146"/>
      <c r="O45" s="131"/>
      <c r="P45" s="111"/>
      <c r="Q45" s="56"/>
      <c r="R45" s="56"/>
      <c r="S45" s="56"/>
      <c r="T45" s="111"/>
      <c r="U45" s="56"/>
      <c r="V45" s="56"/>
      <c r="W45" s="56"/>
      <c r="X45" s="56"/>
    </row>
    <row r="46" spans="2:24">
      <c r="B46" s="65"/>
      <c r="C46" s="56"/>
      <c r="D46" s="56"/>
      <c r="E46" s="56"/>
      <c r="F46" s="56"/>
      <c r="G46" s="56"/>
      <c r="H46" s="81"/>
      <c r="I46" s="131"/>
      <c r="J46" s="131"/>
      <c r="K46" s="131"/>
      <c r="L46" s="132"/>
      <c r="M46" s="132"/>
      <c r="N46" s="146"/>
      <c r="O46" s="131"/>
      <c r="P46" s="111"/>
      <c r="Q46" s="56"/>
      <c r="R46" s="56"/>
      <c r="S46" s="56"/>
      <c r="T46" s="111"/>
      <c r="U46" s="56"/>
      <c r="V46" s="56"/>
      <c r="W46" s="56"/>
      <c r="X46" s="56"/>
    </row>
    <row r="47" spans="2:24">
      <c r="B47" s="65"/>
      <c r="C47" s="56"/>
      <c r="D47" s="56"/>
      <c r="E47" s="56"/>
      <c r="F47" s="56"/>
      <c r="G47" s="56"/>
      <c r="H47" s="81"/>
      <c r="I47" s="131"/>
      <c r="J47" s="131"/>
      <c r="K47" s="131"/>
      <c r="L47" s="132"/>
      <c r="M47" s="132"/>
      <c r="N47" s="146"/>
      <c r="O47" s="131"/>
      <c r="P47" s="111"/>
      <c r="Q47" s="56"/>
      <c r="R47" s="56"/>
      <c r="S47" s="56"/>
      <c r="T47" s="111"/>
      <c r="U47" s="56"/>
      <c r="V47" s="56"/>
      <c r="W47" s="56"/>
      <c r="X47" s="56"/>
    </row>
    <row r="48" spans="2:24">
      <c r="B48" s="65"/>
      <c r="C48" s="56"/>
      <c r="D48" s="56"/>
      <c r="E48" s="56"/>
      <c r="F48" s="56"/>
      <c r="G48" s="56"/>
      <c r="H48" s="81"/>
      <c r="I48" s="131"/>
      <c r="J48" s="131"/>
      <c r="K48" s="131"/>
      <c r="L48" s="132"/>
      <c r="M48" s="132"/>
      <c r="N48" s="146"/>
      <c r="O48" s="131"/>
      <c r="P48" s="111"/>
      <c r="Q48" s="56"/>
      <c r="R48" s="56"/>
      <c r="S48" s="56"/>
      <c r="T48" s="111"/>
      <c r="U48" s="56"/>
      <c r="V48" s="56"/>
      <c r="W48" s="56"/>
      <c r="X48" s="56"/>
    </row>
    <row r="49" spans="2:24">
      <c r="B49" s="65"/>
      <c r="C49" s="56"/>
      <c r="D49" s="56"/>
      <c r="E49" s="56"/>
      <c r="F49" s="56"/>
      <c r="G49" s="56"/>
      <c r="H49" s="81"/>
      <c r="I49" s="131"/>
      <c r="J49" s="131"/>
      <c r="K49" s="131"/>
      <c r="L49" s="132"/>
      <c r="M49" s="132"/>
      <c r="N49" s="146"/>
      <c r="O49" s="131"/>
      <c r="P49" s="111"/>
      <c r="Q49" s="56"/>
      <c r="R49" s="56"/>
      <c r="S49" s="56"/>
      <c r="T49" s="111"/>
      <c r="U49" s="56"/>
      <c r="V49" s="56"/>
      <c r="W49" s="56"/>
      <c r="X49" s="56"/>
    </row>
    <row r="50" spans="2:24">
      <c r="B50" s="65"/>
      <c r="C50" s="56"/>
      <c r="D50" s="56"/>
      <c r="E50" s="56"/>
      <c r="F50" s="56"/>
      <c r="G50" s="56"/>
      <c r="H50" s="81"/>
      <c r="I50" s="131"/>
      <c r="J50" s="131"/>
      <c r="K50" s="131"/>
      <c r="L50" s="132"/>
      <c r="M50" s="132"/>
      <c r="N50" s="146"/>
      <c r="O50" s="131"/>
      <c r="P50" s="111"/>
      <c r="Q50" s="56"/>
      <c r="R50" s="56"/>
      <c r="S50" s="56"/>
      <c r="T50" s="111"/>
      <c r="U50" s="56"/>
      <c r="V50" s="56"/>
      <c r="W50" s="56"/>
      <c r="X50" s="56"/>
    </row>
    <row r="51" spans="2:24">
      <c r="B51" s="65"/>
      <c r="C51" s="56"/>
      <c r="D51" s="56"/>
      <c r="E51" s="56"/>
      <c r="F51" s="56"/>
      <c r="G51" s="56"/>
      <c r="H51" s="81"/>
      <c r="I51" s="131"/>
      <c r="J51" s="131"/>
      <c r="K51" s="131"/>
      <c r="L51" s="132"/>
      <c r="M51" s="132"/>
      <c r="N51" s="146"/>
      <c r="O51" s="131"/>
      <c r="P51" s="111"/>
      <c r="Q51" s="56"/>
      <c r="R51" s="56"/>
      <c r="S51" s="56"/>
      <c r="T51" s="111"/>
      <c r="U51" s="56"/>
      <c r="V51" s="56"/>
      <c r="W51" s="56"/>
      <c r="X51" s="56"/>
    </row>
    <row r="52" spans="2:24">
      <c r="B52" s="65"/>
      <c r="C52" s="56"/>
      <c r="D52" s="56"/>
      <c r="E52" s="56"/>
      <c r="F52" s="56"/>
      <c r="G52" s="56"/>
      <c r="H52" s="81"/>
      <c r="I52" s="131"/>
      <c r="J52" s="131"/>
      <c r="K52" s="131"/>
      <c r="L52" s="132"/>
      <c r="M52" s="132"/>
      <c r="N52" s="146"/>
      <c r="O52" s="131"/>
      <c r="P52" s="111"/>
      <c r="Q52" s="56"/>
      <c r="R52" s="56"/>
      <c r="S52" s="56"/>
      <c r="T52" s="111"/>
      <c r="U52" s="56"/>
      <c r="V52" s="56"/>
      <c r="W52" s="56"/>
      <c r="X52" s="56"/>
    </row>
    <row r="53" spans="2:24">
      <c r="B53" s="65"/>
      <c r="C53" s="56"/>
      <c r="D53" s="56"/>
      <c r="E53" s="56"/>
      <c r="F53" s="56"/>
      <c r="G53" s="56"/>
      <c r="H53" s="81"/>
      <c r="I53" s="131"/>
      <c r="J53" s="131"/>
      <c r="K53" s="131"/>
      <c r="L53" s="132"/>
      <c r="M53" s="132"/>
      <c r="N53" s="146"/>
      <c r="O53" s="131"/>
      <c r="P53" s="111"/>
      <c r="Q53" s="56"/>
      <c r="R53" s="56"/>
      <c r="S53" s="56"/>
      <c r="T53" s="111"/>
      <c r="U53" s="56"/>
      <c r="V53" s="56"/>
      <c r="W53" s="56"/>
      <c r="X53" s="56"/>
    </row>
    <row r="54" spans="2:24">
      <c r="B54" s="65"/>
      <c r="C54" s="56"/>
      <c r="D54" s="56"/>
      <c r="E54" s="56"/>
      <c r="F54" s="56"/>
      <c r="G54" s="56"/>
      <c r="H54" s="81"/>
      <c r="I54" s="131"/>
      <c r="J54" s="131"/>
      <c r="K54" s="131"/>
      <c r="L54" s="132"/>
      <c r="M54" s="132"/>
      <c r="N54" s="146"/>
      <c r="O54" s="131"/>
      <c r="P54" s="111"/>
      <c r="Q54" s="56"/>
      <c r="R54" s="56"/>
      <c r="S54" s="56"/>
      <c r="T54" s="111"/>
      <c r="U54" s="56"/>
      <c r="V54" s="56"/>
      <c r="W54" s="56"/>
      <c r="X54" s="56"/>
    </row>
    <row r="55" spans="2:24">
      <c r="B55" s="65"/>
      <c r="C55" s="56"/>
      <c r="D55" s="56"/>
      <c r="E55" s="56"/>
      <c r="F55" s="56"/>
      <c r="G55" s="56"/>
      <c r="H55" s="81"/>
      <c r="I55" s="131"/>
      <c r="J55" s="131"/>
      <c r="K55" s="131"/>
      <c r="L55" s="132"/>
      <c r="M55" s="132"/>
      <c r="N55" s="146"/>
      <c r="O55" s="131"/>
      <c r="P55" s="111"/>
      <c r="Q55" s="56"/>
      <c r="R55" s="56"/>
      <c r="S55" s="56"/>
      <c r="T55" s="111"/>
      <c r="U55" s="56"/>
      <c r="V55" s="56"/>
      <c r="W55" s="56"/>
      <c r="X55" s="56"/>
    </row>
    <row r="56" spans="2:24">
      <c r="B56" s="65"/>
      <c r="C56" s="56"/>
      <c r="D56" s="56"/>
      <c r="E56" s="56"/>
      <c r="F56" s="56"/>
      <c r="G56" s="56"/>
      <c r="H56" s="81"/>
      <c r="I56" s="131"/>
      <c r="J56" s="131"/>
      <c r="K56" s="131"/>
      <c r="L56" s="132"/>
      <c r="M56" s="132"/>
      <c r="N56" s="146"/>
      <c r="O56" s="131"/>
      <c r="P56" s="111"/>
      <c r="Q56" s="56"/>
      <c r="R56" s="56"/>
      <c r="S56" s="56"/>
      <c r="T56" s="111"/>
      <c r="U56" s="56"/>
      <c r="V56" s="56"/>
      <c r="W56" s="56"/>
      <c r="X56" s="56"/>
    </row>
    <row r="57" spans="2:24" ht="18" thickBot="1">
      <c r="B57" s="68"/>
      <c r="C57" s="57"/>
      <c r="D57" s="57"/>
      <c r="E57" s="57"/>
      <c r="F57" s="57"/>
      <c r="G57" s="57"/>
      <c r="H57" s="157"/>
      <c r="I57" s="135"/>
      <c r="J57" s="135"/>
      <c r="K57" s="135"/>
      <c r="L57" s="136"/>
      <c r="M57" s="136"/>
      <c r="N57" s="159"/>
      <c r="O57" s="135"/>
      <c r="P57" s="115"/>
      <c r="Q57" s="57"/>
      <c r="R57" s="57"/>
      <c r="S57" s="57"/>
      <c r="T57" s="115"/>
      <c r="U57" s="57"/>
      <c r="V57" s="57"/>
      <c r="W57" s="57"/>
      <c r="X57" s="57"/>
    </row>
  </sheetData>
  <mergeCells count="1">
    <mergeCell ref="B4:E4"/>
  </mergeCells>
  <phoneticPr fontId="1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1A28-178E-41A3-8F38-F2F74C9D409B}">
  <dimension ref="B2:U56"/>
  <sheetViews>
    <sheetView topLeftCell="F19" zoomScale="115" zoomScaleNormal="115" workbookViewId="0">
      <selection activeCell="H36" sqref="H36"/>
    </sheetView>
    <sheetView tabSelected="1" topLeftCell="C8" zoomScaleNormal="100" workbookViewId="1">
      <selection activeCell="O9" sqref="O9:O13"/>
    </sheetView>
  </sheetViews>
  <sheetFormatPr defaultRowHeight="17.399999999999999"/>
  <cols>
    <col min="2" max="2" width="5.59765625" customWidth="1"/>
    <col min="3" max="3" width="18.296875" customWidth="1"/>
    <col min="4" max="4" width="17.09765625" style="18" customWidth="1"/>
    <col min="5" max="5" width="17.5" style="37" customWidth="1"/>
    <col min="6" max="6" width="18.19921875" style="147" customWidth="1"/>
    <col min="7" max="7" width="22.19921875" style="18" customWidth="1"/>
    <col min="8" max="8" width="39" style="18" customWidth="1"/>
    <col min="9" max="9" width="15.3984375" style="32" customWidth="1"/>
    <col min="10" max="11" width="17.5" style="37" customWidth="1"/>
    <col min="12" max="12" width="17.5" style="13" customWidth="1"/>
    <col min="13" max="13" width="17.5" customWidth="1"/>
    <col min="14" max="14" width="21.69921875" customWidth="1"/>
    <col min="15" max="15" width="17.5" style="13" customWidth="1"/>
    <col min="16" max="16" width="27.296875" style="18" customWidth="1"/>
    <col min="17" max="17" width="18.8984375" customWidth="1"/>
    <col min="20" max="20" width="5.59765625" style="1" customWidth="1"/>
    <col min="21" max="21" width="21.59765625" style="1" customWidth="1"/>
  </cols>
  <sheetData>
    <row r="2" spans="2:21">
      <c r="B2" s="2" t="s">
        <v>0</v>
      </c>
      <c r="C2" s="2"/>
      <c r="T2" s="79" t="s">
        <v>500</v>
      </c>
    </row>
    <row r="3" spans="2:21" ht="18" thickBot="1"/>
    <row r="4" spans="2:21" ht="18" thickBot="1">
      <c r="B4" s="45" t="s">
        <v>45</v>
      </c>
      <c r="C4" s="46"/>
      <c r="D4" s="47"/>
      <c r="F4" s="103"/>
      <c r="G4" s="29"/>
      <c r="P4"/>
      <c r="T4" s="58" t="s">
        <v>190</v>
      </c>
      <c r="U4" s="60"/>
    </row>
    <row r="5" spans="2:21" ht="18" thickBot="1"/>
    <row r="6" spans="2:21" s="1" customFormat="1" ht="33.6" customHeight="1" thickTop="1" thickBot="1">
      <c r="B6" s="10" t="s">
        <v>1</v>
      </c>
      <c r="C6" s="142" t="s">
        <v>46</v>
      </c>
      <c r="D6" s="143" t="s">
        <v>3</v>
      </c>
      <c r="E6" s="108" t="s">
        <v>382</v>
      </c>
      <c r="F6" s="144" t="s">
        <v>34</v>
      </c>
      <c r="G6" s="145" t="s">
        <v>47</v>
      </c>
      <c r="H6" s="19" t="s">
        <v>265</v>
      </c>
      <c r="I6" s="19" t="s">
        <v>48</v>
      </c>
      <c r="J6" s="108" t="s">
        <v>49</v>
      </c>
      <c r="K6" s="108" t="s">
        <v>50</v>
      </c>
      <c r="L6" s="151" t="s">
        <v>51</v>
      </c>
      <c r="M6" s="108" t="s">
        <v>52</v>
      </c>
      <c r="N6" s="94" t="s">
        <v>561</v>
      </c>
      <c r="O6" s="14" t="s">
        <v>53</v>
      </c>
      <c r="P6" s="19" t="s">
        <v>370</v>
      </c>
      <c r="Q6" s="12" t="s">
        <v>54</v>
      </c>
      <c r="T6" s="109" t="s">
        <v>1</v>
      </c>
      <c r="U6" s="160" t="s">
        <v>47</v>
      </c>
    </row>
    <row r="7" spans="2:21" ht="19.2">
      <c r="B7" s="3">
        <f>IF(D7&lt;&gt;"",ROW()-6,"")</f>
        <v>1</v>
      </c>
      <c r="C7" s="48" t="s">
        <v>371</v>
      </c>
      <c r="D7" s="21" t="s">
        <v>275</v>
      </c>
      <c r="E7" s="38" t="s">
        <v>366</v>
      </c>
      <c r="F7" s="148" t="s">
        <v>390</v>
      </c>
      <c r="G7" s="20" t="str">
        <f>IF(J7="","HW납품(일회성)",IF(ISNUMBER(SEARCH("LTE",H7)),"LTE구독료","SW구독료"))</f>
        <v>HW납품(일회성)</v>
      </c>
      <c r="H7" s="21" t="s">
        <v>78</v>
      </c>
      <c r="I7" s="34">
        <v>44776</v>
      </c>
      <c r="J7" s="39"/>
      <c r="K7" s="39"/>
      <c r="L7" s="16"/>
      <c r="M7" s="4"/>
      <c r="N7" s="4"/>
      <c r="O7" s="16">
        <v>7600000</v>
      </c>
      <c r="P7" s="50" t="s">
        <v>77</v>
      </c>
      <c r="Q7" s="24">
        <v>44890</v>
      </c>
      <c r="T7" s="62">
        <f>ROW()-6</f>
        <v>1</v>
      </c>
      <c r="U7" s="64" t="s">
        <v>563</v>
      </c>
    </row>
    <row r="8" spans="2:21" ht="19.2">
      <c r="B8" s="3">
        <f t="shared" ref="B8:B41" si="0">IF(D8&lt;&gt;"",ROW()-6,"")</f>
        <v>2</v>
      </c>
      <c r="C8" s="48" t="s">
        <v>564</v>
      </c>
      <c r="D8" s="21" t="s">
        <v>275</v>
      </c>
      <c r="E8" s="38" t="s">
        <v>365</v>
      </c>
      <c r="F8" s="148" t="s">
        <v>390</v>
      </c>
      <c r="G8" s="20" t="str">
        <f t="shared" ref="G8:G42" si="1">IF(J8="","HW납품(일회성)",IF(ISNUMBER(SEARCH("LTE",H8)),"LTE구독료","SW구독료"))</f>
        <v>SW구독료</v>
      </c>
      <c r="H8" s="21" t="s">
        <v>86</v>
      </c>
      <c r="I8" s="34">
        <v>44776</v>
      </c>
      <c r="J8" s="41">
        <v>44774</v>
      </c>
      <c r="K8" s="41">
        <v>45138</v>
      </c>
      <c r="L8" s="16">
        <v>50000</v>
      </c>
      <c r="M8" s="4">
        <v>24</v>
      </c>
      <c r="N8" s="4"/>
      <c r="O8" s="16">
        <v>1200000</v>
      </c>
      <c r="P8" s="50" t="s">
        <v>77</v>
      </c>
      <c r="Q8" s="24">
        <v>44890</v>
      </c>
      <c r="T8" s="65">
        <v>2</v>
      </c>
      <c r="U8" s="66" t="s">
        <v>559</v>
      </c>
    </row>
    <row r="9" spans="2:21" ht="19.2">
      <c r="B9" s="3">
        <f t="shared" si="0"/>
        <v>3</v>
      </c>
      <c r="C9" s="48" t="s">
        <v>565</v>
      </c>
      <c r="D9" s="21" t="s">
        <v>136</v>
      </c>
      <c r="E9" s="38" t="s">
        <v>368</v>
      </c>
      <c r="F9" s="148" t="s">
        <v>519</v>
      </c>
      <c r="G9" s="20" t="str">
        <f t="shared" si="1"/>
        <v>HW납품(일회성)</v>
      </c>
      <c r="H9" s="21" t="s">
        <v>81</v>
      </c>
      <c r="I9" s="34">
        <v>44804</v>
      </c>
      <c r="J9" s="39"/>
      <c r="K9" s="39"/>
      <c r="L9" s="16"/>
      <c r="M9" s="4"/>
      <c r="N9" s="4"/>
      <c r="O9" s="16">
        <v>23840000</v>
      </c>
      <c r="P9" s="50" t="s">
        <v>79</v>
      </c>
      <c r="Q9" s="24">
        <v>44806</v>
      </c>
      <c r="T9" s="65">
        <v>3</v>
      </c>
      <c r="U9" s="66" t="s">
        <v>613</v>
      </c>
    </row>
    <row r="10" spans="2:21" ht="19.2">
      <c r="B10" s="3">
        <f t="shared" si="0"/>
        <v>4</v>
      </c>
      <c r="C10" s="48" t="s">
        <v>566</v>
      </c>
      <c r="D10" s="21" t="s">
        <v>136</v>
      </c>
      <c r="E10" s="38" t="s">
        <v>367</v>
      </c>
      <c r="F10" s="148" t="s">
        <v>519</v>
      </c>
      <c r="G10" s="20" t="str">
        <f t="shared" si="1"/>
        <v>SW구독료</v>
      </c>
      <c r="H10" s="21" t="s">
        <v>87</v>
      </c>
      <c r="I10" s="34">
        <v>44804</v>
      </c>
      <c r="J10" s="41">
        <v>44805</v>
      </c>
      <c r="K10" s="41">
        <v>45900</v>
      </c>
      <c r="L10" s="16">
        <v>35000</v>
      </c>
      <c r="M10" s="4">
        <v>288</v>
      </c>
      <c r="N10" s="4"/>
      <c r="O10" s="16">
        <v>10080000</v>
      </c>
      <c r="P10" s="50" t="s">
        <v>79</v>
      </c>
      <c r="Q10" s="24">
        <v>44806</v>
      </c>
      <c r="T10" s="65">
        <v>4</v>
      </c>
      <c r="U10" s="66"/>
    </row>
    <row r="11" spans="2:21" ht="19.2">
      <c r="B11" s="3">
        <f t="shared" si="0"/>
        <v>5</v>
      </c>
      <c r="C11" s="48" t="s">
        <v>567</v>
      </c>
      <c r="D11" s="21" t="s">
        <v>128</v>
      </c>
      <c r="E11" s="39" t="s">
        <v>367</v>
      </c>
      <c r="F11" s="149" t="s">
        <v>520</v>
      </c>
      <c r="G11" s="20" t="str">
        <f t="shared" si="1"/>
        <v>HW납품(일회성)</v>
      </c>
      <c r="H11" s="21" t="s">
        <v>82</v>
      </c>
      <c r="I11" s="34">
        <v>44804</v>
      </c>
      <c r="J11" s="39"/>
      <c r="K11" s="39"/>
      <c r="L11" s="16"/>
      <c r="M11" s="4"/>
      <c r="N11" s="4"/>
      <c r="O11" s="16">
        <v>15900000</v>
      </c>
      <c r="P11" s="50" t="s">
        <v>80</v>
      </c>
      <c r="Q11" s="24">
        <v>44806</v>
      </c>
      <c r="T11" s="65">
        <v>5</v>
      </c>
      <c r="U11" s="66"/>
    </row>
    <row r="12" spans="2:21" ht="19.2">
      <c r="B12" s="3">
        <f t="shared" si="0"/>
        <v>6</v>
      </c>
      <c r="C12" s="48" t="s">
        <v>568</v>
      </c>
      <c r="D12" s="21" t="s">
        <v>128</v>
      </c>
      <c r="E12" s="39" t="s">
        <v>367</v>
      </c>
      <c r="F12" s="149" t="s">
        <v>520</v>
      </c>
      <c r="G12" s="20" t="str">
        <f t="shared" si="1"/>
        <v>SW구독료</v>
      </c>
      <c r="H12" s="21" t="s">
        <v>88</v>
      </c>
      <c r="I12" s="34">
        <v>44804</v>
      </c>
      <c r="J12" s="41">
        <v>44805</v>
      </c>
      <c r="K12" s="41">
        <v>45900</v>
      </c>
      <c r="L12" s="16">
        <v>35000</v>
      </c>
      <c r="M12" s="4">
        <v>180</v>
      </c>
      <c r="N12" s="4"/>
      <c r="O12" s="16">
        <v>6300000</v>
      </c>
      <c r="P12" s="50" t="s">
        <v>369</v>
      </c>
      <c r="Q12" s="24">
        <v>44806</v>
      </c>
      <c r="T12" s="65">
        <v>6</v>
      </c>
      <c r="U12" s="66"/>
    </row>
    <row r="13" spans="2:21" ht="19.2">
      <c r="B13" s="3">
        <f t="shared" si="0"/>
        <v>7</v>
      </c>
      <c r="C13" s="48" t="s">
        <v>569</v>
      </c>
      <c r="D13" s="21" t="s">
        <v>137</v>
      </c>
      <c r="E13" s="39" t="s">
        <v>367</v>
      </c>
      <c r="F13" s="149" t="s">
        <v>521</v>
      </c>
      <c r="G13" s="20" t="str">
        <f t="shared" si="1"/>
        <v>HW납품(일회성)</v>
      </c>
      <c r="H13" s="21" t="s">
        <v>84</v>
      </c>
      <c r="I13" s="34">
        <v>44804</v>
      </c>
      <c r="J13" s="39"/>
      <c r="K13" s="39"/>
      <c r="L13" s="16"/>
      <c r="M13" s="4"/>
      <c r="N13" s="4"/>
      <c r="O13" s="16">
        <v>460000</v>
      </c>
      <c r="P13" s="50" t="s">
        <v>83</v>
      </c>
      <c r="Q13" s="24">
        <v>44804</v>
      </c>
      <c r="T13" s="65"/>
      <c r="U13" s="66"/>
    </row>
    <row r="14" spans="2:21" ht="19.2">
      <c r="B14" s="3">
        <f t="shared" si="0"/>
        <v>8</v>
      </c>
      <c r="C14" s="48" t="s">
        <v>570</v>
      </c>
      <c r="D14" s="20" t="s">
        <v>116</v>
      </c>
      <c r="E14" s="38" t="s">
        <v>373</v>
      </c>
      <c r="F14" s="148" t="s">
        <v>522</v>
      </c>
      <c r="G14" s="20" t="str">
        <f t="shared" si="1"/>
        <v>HW납품(일회성)</v>
      </c>
      <c r="H14" s="20" t="s">
        <v>76</v>
      </c>
      <c r="I14" s="33">
        <v>44840</v>
      </c>
      <c r="J14" s="38"/>
      <c r="K14" s="38"/>
      <c r="L14" s="15"/>
      <c r="M14" s="9"/>
      <c r="N14" s="9"/>
      <c r="O14" s="15">
        <v>9450000</v>
      </c>
      <c r="P14" s="51" t="s">
        <v>72</v>
      </c>
      <c r="Q14" s="23">
        <v>44890</v>
      </c>
      <c r="T14" s="65"/>
      <c r="U14" s="66"/>
    </row>
    <row r="15" spans="2:21" ht="19.2">
      <c r="B15" s="3">
        <f t="shared" si="0"/>
        <v>9</v>
      </c>
      <c r="C15" s="48" t="s">
        <v>571</v>
      </c>
      <c r="D15" s="20" t="s">
        <v>116</v>
      </c>
      <c r="E15" s="38" t="s">
        <v>372</v>
      </c>
      <c r="F15" s="148" t="s">
        <v>522</v>
      </c>
      <c r="G15" s="20" t="str">
        <f t="shared" si="1"/>
        <v>SW구독료</v>
      </c>
      <c r="H15" s="21" t="s">
        <v>74</v>
      </c>
      <c r="I15" s="33">
        <v>44840</v>
      </c>
      <c r="J15" s="41">
        <v>44805</v>
      </c>
      <c r="K15" s="41">
        <v>44895</v>
      </c>
      <c r="L15" s="16">
        <v>35000</v>
      </c>
      <c r="M15" s="4">
        <v>9</v>
      </c>
      <c r="N15" s="4"/>
      <c r="O15" s="16">
        <v>315000</v>
      </c>
      <c r="P15" s="50" t="s">
        <v>72</v>
      </c>
      <c r="Q15" s="23">
        <v>44890</v>
      </c>
      <c r="T15" s="65"/>
      <c r="U15" s="66"/>
    </row>
    <row r="16" spans="2:21" ht="19.2">
      <c r="B16" s="3">
        <f t="shared" si="0"/>
        <v>10</v>
      </c>
      <c r="C16" s="48" t="s">
        <v>572</v>
      </c>
      <c r="D16" s="20" t="s">
        <v>116</v>
      </c>
      <c r="E16" s="38" t="s">
        <v>372</v>
      </c>
      <c r="F16" s="148" t="s">
        <v>523</v>
      </c>
      <c r="G16" s="20" t="str">
        <f t="shared" si="1"/>
        <v>SW구독료</v>
      </c>
      <c r="H16" s="21" t="s">
        <v>75</v>
      </c>
      <c r="I16" s="34">
        <v>44896</v>
      </c>
      <c r="J16" s="41">
        <v>44896</v>
      </c>
      <c r="K16" s="41">
        <v>44926</v>
      </c>
      <c r="L16" s="16">
        <v>35000</v>
      </c>
      <c r="M16" s="4">
        <v>3</v>
      </c>
      <c r="N16" s="4"/>
      <c r="O16" s="16">
        <v>105000</v>
      </c>
      <c r="P16" s="50" t="s">
        <v>73</v>
      </c>
      <c r="Q16" s="24">
        <v>44946</v>
      </c>
      <c r="T16" s="65"/>
      <c r="U16" s="66"/>
    </row>
    <row r="17" spans="2:21" ht="19.2">
      <c r="B17" s="3">
        <f t="shared" si="0"/>
        <v>11</v>
      </c>
      <c r="C17" s="48" t="s">
        <v>573</v>
      </c>
      <c r="D17" s="21" t="s">
        <v>329</v>
      </c>
      <c r="E17" s="39" t="s">
        <v>374</v>
      </c>
      <c r="F17" s="149" t="s">
        <v>524</v>
      </c>
      <c r="G17" s="20" t="str">
        <f t="shared" si="1"/>
        <v>HW납품(일회성)</v>
      </c>
      <c r="H17" s="21" t="s">
        <v>90</v>
      </c>
      <c r="I17" s="34">
        <v>45273</v>
      </c>
      <c r="J17" s="39"/>
      <c r="K17" s="39"/>
      <c r="L17" s="16"/>
      <c r="M17" s="4"/>
      <c r="N17" s="4"/>
      <c r="O17" s="16">
        <v>10000000</v>
      </c>
      <c r="P17" s="52" t="s">
        <v>85</v>
      </c>
      <c r="Q17" s="24">
        <v>45273</v>
      </c>
      <c r="T17" s="65"/>
      <c r="U17" s="66"/>
    </row>
    <row r="18" spans="2:21" ht="19.2">
      <c r="B18" s="3">
        <f t="shared" si="0"/>
        <v>12</v>
      </c>
      <c r="C18" s="48" t="s">
        <v>574</v>
      </c>
      <c r="D18" s="21" t="s">
        <v>329</v>
      </c>
      <c r="E18" s="39" t="s">
        <v>374</v>
      </c>
      <c r="F18" s="149" t="s">
        <v>524</v>
      </c>
      <c r="G18" s="20" t="str">
        <f t="shared" si="1"/>
        <v>HW납품(일회성)</v>
      </c>
      <c r="H18" s="21" t="s">
        <v>91</v>
      </c>
      <c r="I18" s="34">
        <v>45273</v>
      </c>
      <c r="J18" s="41"/>
      <c r="K18" s="41"/>
      <c r="L18" s="16" t="s">
        <v>92</v>
      </c>
      <c r="M18" s="4" t="s">
        <v>92</v>
      </c>
      <c r="N18" s="4"/>
      <c r="O18" s="16">
        <v>3300000</v>
      </c>
      <c r="P18" s="53" t="s">
        <v>93</v>
      </c>
      <c r="Q18" s="24">
        <v>45351</v>
      </c>
      <c r="T18" s="65"/>
      <c r="U18" s="66"/>
    </row>
    <row r="19" spans="2:21" ht="19.2">
      <c r="B19" s="3">
        <f t="shared" si="0"/>
        <v>13</v>
      </c>
      <c r="C19" s="48" t="s">
        <v>575</v>
      </c>
      <c r="D19" s="21" t="s">
        <v>329</v>
      </c>
      <c r="E19" s="39" t="s">
        <v>374</v>
      </c>
      <c r="F19" s="149" t="s">
        <v>524</v>
      </c>
      <c r="G19" s="20" t="str">
        <f t="shared" si="1"/>
        <v>SW구독료</v>
      </c>
      <c r="H19" s="21" t="s">
        <v>89</v>
      </c>
      <c r="I19" s="34">
        <v>45273</v>
      </c>
      <c r="J19" s="41">
        <v>45323</v>
      </c>
      <c r="K19" s="41">
        <v>46418</v>
      </c>
      <c r="L19" s="16">
        <v>35000</v>
      </c>
      <c r="M19" s="4">
        <v>108</v>
      </c>
      <c r="N19" s="4"/>
      <c r="O19" s="16">
        <v>3780000</v>
      </c>
      <c r="P19" s="53" t="s">
        <v>93</v>
      </c>
      <c r="Q19" s="24">
        <v>45351</v>
      </c>
      <c r="T19" s="65"/>
      <c r="U19" s="66"/>
    </row>
    <row r="20" spans="2:21" ht="19.2">
      <c r="B20" s="3">
        <f t="shared" si="0"/>
        <v>14</v>
      </c>
      <c r="C20" s="48" t="s">
        <v>576</v>
      </c>
      <c r="D20" s="21" t="s">
        <v>147</v>
      </c>
      <c r="E20" s="39" t="s">
        <v>375</v>
      </c>
      <c r="F20" s="149" t="s">
        <v>525</v>
      </c>
      <c r="G20" s="20" t="str">
        <f t="shared" si="1"/>
        <v>HW납품(일회성)</v>
      </c>
      <c r="H20" s="21" t="s">
        <v>96</v>
      </c>
      <c r="I20" s="34">
        <v>45036</v>
      </c>
      <c r="J20" s="39"/>
      <c r="K20" s="39"/>
      <c r="L20" s="16"/>
      <c r="M20" s="4"/>
      <c r="N20" s="4"/>
      <c r="O20" s="16">
        <v>8970000</v>
      </c>
      <c r="P20" s="50" t="s">
        <v>94</v>
      </c>
      <c r="Q20" s="24">
        <v>45044</v>
      </c>
      <c r="T20" s="65"/>
      <c r="U20" s="66"/>
    </row>
    <row r="21" spans="2:21" ht="19.2">
      <c r="B21" s="3">
        <f t="shared" si="0"/>
        <v>15</v>
      </c>
      <c r="C21" s="48" t="s">
        <v>577</v>
      </c>
      <c r="D21" s="21" t="s">
        <v>147</v>
      </c>
      <c r="E21" s="39" t="s">
        <v>375</v>
      </c>
      <c r="F21" s="149" t="s">
        <v>525</v>
      </c>
      <c r="G21" s="20" t="str">
        <f t="shared" si="1"/>
        <v>SW구독료</v>
      </c>
      <c r="H21" s="21" t="s">
        <v>89</v>
      </c>
      <c r="I21" s="34">
        <v>45036</v>
      </c>
      <c r="J21" s="41">
        <v>45036</v>
      </c>
      <c r="K21" s="41">
        <v>46112</v>
      </c>
      <c r="L21" s="16">
        <v>35000</v>
      </c>
      <c r="M21" s="4">
        <v>108</v>
      </c>
      <c r="N21" s="4"/>
      <c r="O21" s="16">
        <v>3780000</v>
      </c>
      <c r="P21" s="50" t="s">
        <v>94</v>
      </c>
      <c r="Q21" s="24">
        <v>45044</v>
      </c>
      <c r="T21" s="65"/>
      <c r="U21" s="66"/>
    </row>
    <row r="22" spans="2:21" ht="19.2">
      <c r="B22" s="3">
        <f t="shared" si="0"/>
        <v>16</v>
      </c>
      <c r="C22" s="48" t="s">
        <v>578</v>
      </c>
      <c r="D22" s="21" t="s">
        <v>147</v>
      </c>
      <c r="E22" s="39" t="s">
        <v>375</v>
      </c>
      <c r="F22" s="149" t="s">
        <v>526</v>
      </c>
      <c r="G22" s="20" t="str">
        <f t="shared" si="1"/>
        <v>HW납품(일회성)</v>
      </c>
      <c r="H22" s="21" t="s">
        <v>95</v>
      </c>
      <c r="I22" s="34">
        <v>45036</v>
      </c>
      <c r="J22" s="39"/>
      <c r="K22" s="39"/>
      <c r="L22" s="16"/>
      <c r="M22" s="4"/>
      <c r="N22" s="4"/>
      <c r="O22" s="16">
        <v>8970000</v>
      </c>
      <c r="P22" s="50" t="s">
        <v>94</v>
      </c>
      <c r="Q22" s="24">
        <v>45044</v>
      </c>
      <c r="T22" s="65"/>
      <c r="U22" s="66"/>
    </row>
    <row r="23" spans="2:21" ht="19.2">
      <c r="B23" s="3">
        <f t="shared" si="0"/>
        <v>17</v>
      </c>
      <c r="C23" s="48" t="s">
        <v>579</v>
      </c>
      <c r="D23" s="21" t="s">
        <v>147</v>
      </c>
      <c r="E23" s="39" t="s">
        <v>375</v>
      </c>
      <c r="F23" s="149" t="s">
        <v>526</v>
      </c>
      <c r="G23" s="20" t="str">
        <f t="shared" si="1"/>
        <v>SW구독료</v>
      </c>
      <c r="H23" s="21" t="s">
        <v>89</v>
      </c>
      <c r="I23" s="34">
        <v>45036</v>
      </c>
      <c r="J23" s="41">
        <v>45036</v>
      </c>
      <c r="K23" s="41">
        <v>46112</v>
      </c>
      <c r="L23" s="16">
        <v>35000</v>
      </c>
      <c r="M23" s="4">
        <v>108</v>
      </c>
      <c r="N23" s="4"/>
      <c r="O23" s="16">
        <v>3780000</v>
      </c>
      <c r="P23" s="50" t="s">
        <v>94</v>
      </c>
      <c r="Q23" s="24">
        <v>45044</v>
      </c>
      <c r="T23" s="65"/>
      <c r="U23" s="66"/>
    </row>
    <row r="24" spans="2:21" ht="19.2">
      <c r="B24" s="3">
        <f t="shared" si="0"/>
        <v>18</v>
      </c>
      <c r="C24" s="48" t="s">
        <v>580</v>
      </c>
      <c r="D24" s="21" t="s">
        <v>147</v>
      </c>
      <c r="E24" s="39" t="s">
        <v>375</v>
      </c>
      <c r="F24" s="149" t="s">
        <v>525</v>
      </c>
      <c r="G24" s="20" t="str">
        <f t="shared" si="1"/>
        <v>HW납품(일회성)</v>
      </c>
      <c r="H24" s="21" t="s">
        <v>97</v>
      </c>
      <c r="I24" s="34">
        <v>45036</v>
      </c>
      <c r="J24" s="39"/>
      <c r="K24" s="39"/>
      <c r="L24" s="16"/>
      <c r="M24" s="4"/>
      <c r="N24" s="4"/>
      <c r="O24" s="16">
        <v>1500000</v>
      </c>
      <c r="P24" s="50" t="s">
        <v>94</v>
      </c>
      <c r="Q24" s="24">
        <v>45044</v>
      </c>
      <c r="T24" s="65"/>
      <c r="U24" s="66"/>
    </row>
    <row r="25" spans="2:21" ht="19.2">
      <c r="B25" s="3">
        <f t="shared" si="0"/>
        <v>19</v>
      </c>
      <c r="C25" s="48" t="s">
        <v>581</v>
      </c>
      <c r="D25" s="21" t="s">
        <v>147</v>
      </c>
      <c r="E25" s="39" t="s">
        <v>375</v>
      </c>
      <c r="F25" s="149" t="s">
        <v>525</v>
      </c>
      <c r="G25" s="20" t="str">
        <f t="shared" si="1"/>
        <v>HW납품(일회성)</v>
      </c>
      <c r="H25" s="25" t="s">
        <v>99</v>
      </c>
      <c r="I25" s="34">
        <v>45036</v>
      </c>
      <c r="J25" s="39"/>
      <c r="K25" s="39"/>
      <c r="L25" s="16"/>
      <c r="M25" s="4"/>
      <c r="N25" s="4"/>
      <c r="O25" s="16">
        <v>8990000</v>
      </c>
      <c r="P25" s="54" t="s">
        <v>98</v>
      </c>
      <c r="Q25" s="24">
        <v>45044</v>
      </c>
      <c r="T25" s="65"/>
      <c r="U25" s="66"/>
    </row>
    <row r="26" spans="2:21" ht="19.2">
      <c r="B26" s="3">
        <f t="shared" si="0"/>
        <v>20</v>
      </c>
      <c r="C26" s="48" t="s">
        <v>582</v>
      </c>
      <c r="D26" s="21" t="s">
        <v>117</v>
      </c>
      <c r="E26" s="39" t="s">
        <v>376</v>
      </c>
      <c r="F26" s="149" t="s">
        <v>527</v>
      </c>
      <c r="G26" s="20" t="str">
        <f t="shared" si="1"/>
        <v>HW납품(일회성)</v>
      </c>
      <c r="H26" s="21" t="s">
        <v>273</v>
      </c>
      <c r="I26" s="34">
        <v>45106</v>
      </c>
      <c r="J26" s="39"/>
      <c r="K26" s="39"/>
      <c r="L26" s="16"/>
      <c r="M26" s="4"/>
      <c r="N26" s="4"/>
      <c r="O26" s="16">
        <v>3200000</v>
      </c>
      <c r="P26" s="54" t="s">
        <v>274</v>
      </c>
      <c r="Q26" s="24">
        <v>45106</v>
      </c>
      <c r="T26" s="65"/>
      <c r="U26" s="66"/>
    </row>
    <row r="27" spans="2:21" ht="19.2">
      <c r="B27" s="3">
        <f t="shared" si="0"/>
        <v>21</v>
      </c>
      <c r="C27" s="48" t="s">
        <v>583</v>
      </c>
      <c r="D27" s="21" t="s">
        <v>117</v>
      </c>
      <c r="E27" s="39" t="s">
        <v>376</v>
      </c>
      <c r="F27" s="149" t="s">
        <v>527</v>
      </c>
      <c r="G27" s="20" t="str">
        <f t="shared" si="1"/>
        <v>SW구독료</v>
      </c>
      <c r="H27" s="21" t="s">
        <v>100</v>
      </c>
      <c r="I27" s="34">
        <v>45106</v>
      </c>
      <c r="J27" s="41">
        <v>45108</v>
      </c>
      <c r="K27" s="39" t="s">
        <v>272</v>
      </c>
      <c r="L27" s="16">
        <v>35000</v>
      </c>
      <c r="M27" s="4">
        <v>12</v>
      </c>
      <c r="N27" s="4"/>
      <c r="O27" s="16">
        <v>420000</v>
      </c>
      <c r="P27" s="54" t="s">
        <v>274</v>
      </c>
      <c r="Q27" s="24">
        <v>45106</v>
      </c>
      <c r="T27" s="65"/>
      <c r="U27" s="66"/>
    </row>
    <row r="28" spans="2:21" ht="19.2">
      <c r="B28" s="3">
        <f t="shared" ref="B28" si="2">IF(D28&lt;&gt;"",ROW()-6,"")</f>
        <v>22</v>
      </c>
      <c r="C28" s="48" t="s">
        <v>584</v>
      </c>
      <c r="D28" s="21" t="s">
        <v>201</v>
      </c>
      <c r="E28" s="39" t="s">
        <v>377</v>
      </c>
      <c r="F28" s="149" t="s">
        <v>609</v>
      </c>
      <c r="G28" s="20" t="str">
        <f t="shared" si="1"/>
        <v>SW구독료</v>
      </c>
      <c r="H28" s="21" t="s">
        <v>610</v>
      </c>
      <c r="I28" s="34">
        <v>45597</v>
      </c>
      <c r="J28" s="41">
        <v>45597</v>
      </c>
      <c r="K28" s="41">
        <v>46691</v>
      </c>
      <c r="L28" s="16">
        <v>2372000</v>
      </c>
      <c r="M28" s="4">
        <v>1</v>
      </c>
      <c r="N28" s="4"/>
      <c r="O28" s="16">
        <v>2372000</v>
      </c>
      <c r="P28" s="50" t="s">
        <v>270</v>
      </c>
      <c r="Q28" s="24">
        <v>45990</v>
      </c>
      <c r="T28" s="65"/>
      <c r="U28" s="66"/>
    </row>
    <row r="29" spans="2:21" ht="19.2">
      <c r="B29" s="3">
        <f t="shared" si="0"/>
        <v>23</v>
      </c>
      <c r="C29" s="48" t="s">
        <v>585</v>
      </c>
      <c r="D29" s="21" t="s">
        <v>201</v>
      </c>
      <c r="E29" s="39" t="s">
        <v>377</v>
      </c>
      <c r="F29" s="149" t="s">
        <v>609</v>
      </c>
      <c r="G29" s="20" t="str">
        <f t="shared" si="1"/>
        <v>SW구독료</v>
      </c>
      <c r="H29" s="21" t="s">
        <v>271</v>
      </c>
      <c r="I29" s="34">
        <v>45597</v>
      </c>
      <c r="J29" s="41">
        <v>45597</v>
      </c>
      <c r="K29" s="41">
        <v>46691</v>
      </c>
      <c r="L29" s="16">
        <v>35000</v>
      </c>
      <c r="M29" s="4">
        <v>36</v>
      </c>
      <c r="N29" s="4"/>
      <c r="O29" s="16">
        <v>1260000</v>
      </c>
      <c r="P29" s="50" t="s">
        <v>270</v>
      </c>
      <c r="Q29" s="24">
        <v>45990</v>
      </c>
      <c r="T29" s="65"/>
      <c r="U29" s="66"/>
    </row>
    <row r="30" spans="2:21" ht="19.2">
      <c r="B30" s="3">
        <f t="shared" si="0"/>
        <v>24</v>
      </c>
      <c r="C30" s="48" t="s">
        <v>586</v>
      </c>
      <c r="D30" s="21" t="s">
        <v>201</v>
      </c>
      <c r="E30" s="39" t="s">
        <v>386</v>
      </c>
      <c r="F30" s="149" t="s">
        <v>608</v>
      </c>
      <c r="G30" s="20" t="str">
        <f t="shared" si="1"/>
        <v>LTE구독료</v>
      </c>
      <c r="H30" s="21" t="s">
        <v>607</v>
      </c>
      <c r="I30" s="34">
        <v>45597</v>
      </c>
      <c r="J30" s="41">
        <v>45597</v>
      </c>
      <c r="K30" s="41">
        <v>46691</v>
      </c>
      <c r="L30" s="16">
        <v>38000</v>
      </c>
      <c r="M30" s="4">
        <v>36</v>
      </c>
      <c r="N30" s="4"/>
      <c r="O30" s="16">
        <v>1368000</v>
      </c>
      <c r="P30" s="50" t="s">
        <v>270</v>
      </c>
      <c r="Q30" s="24">
        <v>45990</v>
      </c>
      <c r="T30" s="65"/>
      <c r="U30" s="66"/>
    </row>
    <row r="31" spans="2:21" ht="19.2">
      <c r="B31" s="3">
        <f t="shared" si="0"/>
        <v>25</v>
      </c>
      <c r="C31" s="48" t="s">
        <v>587</v>
      </c>
      <c r="D31" s="21" t="s">
        <v>67</v>
      </c>
      <c r="E31" s="39" t="s">
        <v>378</v>
      </c>
      <c r="F31" s="149" t="s">
        <v>530</v>
      </c>
      <c r="G31" s="20" t="str">
        <f t="shared" si="1"/>
        <v>HW납품(일회성)</v>
      </c>
      <c r="H31" s="21" t="s">
        <v>102</v>
      </c>
      <c r="I31" s="34">
        <v>45652</v>
      </c>
      <c r="J31" s="39"/>
      <c r="K31" s="39"/>
      <c r="L31" s="16"/>
      <c r="M31" s="4"/>
      <c r="N31" s="4"/>
      <c r="O31" s="16">
        <v>8540000</v>
      </c>
      <c r="P31" s="26" t="s">
        <v>101</v>
      </c>
      <c r="Q31" s="24">
        <v>45672</v>
      </c>
      <c r="T31" s="65"/>
      <c r="U31" s="66"/>
    </row>
    <row r="32" spans="2:21" ht="19.2">
      <c r="B32" s="3">
        <f t="shared" si="0"/>
        <v>26</v>
      </c>
      <c r="C32" s="48" t="s">
        <v>588</v>
      </c>
      <c r="D32" s="21" t="s">
        <v>67</v>
      </c>
      <c r="E32" s="39" t="s">
        <v>378</v>
      </c>
      <c r="F32" s="149" t="s">
        <v>530</v>
      </c>
      <c r="G32" s="20" t="str">
        <f t="shared" si="1"/>
        <v>HW납품(일회성)</v>
      </c>
      <c r="H32" s="21" t="s">
        <v>103</v>
      </c>
      <c r="I32" s="34">
        <v>45652</v>
      </c>
      <c r="J32" s="39"/>
      <c r="K32" s="39"/>
      <c r="L32" s="16"/>
      <c r="M32" s="4"/>
      <c r="N32" s="4"/>
      <c r="O32" s="16">
        <v>2044000</v>
      </c>
      <c r="P32" s="26" t="s">
        <v>101</v>
      </c>
      <c r="Q32" s="24">
        <v>45672</v>
      </c>
      <c r="T32" s="65"/>
      <c r="U32" s="66"/>
    </row>
    <row r="33" spans="2:21" ht="19.2">
      <c r="B33" s="3">
        <f t="shared" si="0"/>
        <v>27</v>
      </c>
      <c r="C33" s="48" t="s">
        <v>589</v>
      </c>
      <c r="D33" s="21" t="s">
        <v>67</v>
      </c>
      <c r="E33" s="39" t="s">
        <v>378</v>
      </c>
      <c r="F33" s="149" t="s">
        <v>530</v>
      </c>
      <c r="G33" s="20" t="str">
        <f t="shared" si="1"/>
        <v>SW구독료</v>
      </c>
      <c r="H33" s="21" t="s">
        <v>89</v>
      </c>
      <c r="I33" s="34">
        <v>45652</v>
      </c>
      <c r="J33" s="41">
        <v>45658</v>
      </c>
      <c r="K33" s="41">
        <v>46022</v>
      </c>
      <c r="L33" s="16">
        <v>35000</v>
      </c>
      <c r="M33" s="4">
        <v>36</v>
      </c>
      <c r="N33" s="4"/>
      <c r="O33" s="16">
        <v>1260000</v>
      </c>
      <c r="P33" s="26" t="s">
        <v>101</v>
      </c>
      <c r="Q33" s="24">
        <v>45672</v>
      </c>
      <c r="T33" s="65"/>
      <c r="U33" s="66"/>
    </row>
    <row r="34" spans="2:21" ht="19.2">
      <c r="B34" s="3">
        <f t="shared" si="0"/>
        <v>28</v>
      </c>
      <c r="C34" s="48" t="s">
        <v>590</v>
      </c>
      <c r="D34" s="21" t="s">
        <v>67</v>
      </c>
      <c r="E34" s="39" t="s">
        <v>378</v>
      </c>
      <c r="F34" s="149" t="s">
        <v>531</v>
      </c>
      <c r="G34" s="20" t="str">
        <f t="shared" si="1"/>
        <v>LTE구독료</v>
      </c>
      <c r="H34" s="21" t="s">
        <v>607</v>
      </c>
      <c r="I34" s="34">
        <v>45652</v>
      </c>
      <c r="J34" s="41">
        <v>45658</v>
      </c>
      <c r="K34" s="41">
        <v>46022</v>
      </c>
      <c r="L34" s="16">
        <v>38000</v>
      </c>
      <c r="M34" s="4">
        <v>12</v>
      </c>
      <c r="N34" s="4"/>
      <c r="O34" s="16">
        <v>456000</v>
      </c>
      <c r="P34" s="26" t="s">
        <v>101</v>
      </c>
      <c r="Q34" s="24">
        <v>45672</v>
      </c>
      <c r="T34" s="65"/>
      <c r="U34" s="66"/>
    </row>
    <row r="35" spans="2:21" ht="19.2">
      <c r="B35" s="3">
        <f t="shared" si="0"/>
        <v>29</v>
      </c>
      <c r="C35" s="48" t="s">
        <v>591</v>
      </c>
      <c r="D35" s="21" t="s">
        <v>288</v>
      </c>
      <c r="E35" s="39" t="s">
        <v>379</v>
      </c>
      <c r="F35" s="149" t="s">
        <v>597</v>
      </c>
      <c r="G35" s="20" t="str">
        <f t="shared" si="1"/>
        <v>HW납품(일회성)</v>
      </c>
      <c r="H35" s="21" t="s">
        <v>90</v>
      </c>
      <c r="I35" s="34">
        <v>45659</v>
      </c>
      <c r="J35" s="41"/>
      <c r="K35" s="41"/>
      <c r="L35" s="16"/>
      <c r="M35" s="4"/>
      <c r="N35" s="4"/>
      <c r="O35" s="16">
        <v>12000000</v>
      </c>
      <c r="P35" s="30" t="s">
        <v>266</v>
      </c>
      <c r="Q35" s="24">
        <v>45667</v>
      </c>
      <c r="T35" s="65"/>
      <c r="U35" s="66"/>
    </row>
    <row r="36" spans="2:21" ht="19.2">
      <c r="B36" s="3">
        <f t="shared" si="0"/>
        <v>30</v>
      </c>
      <c r="C36" s="48" t="s">
        <v>592</v>
      </c>
      <c r="D36" s="21" t="s">
        <v>288</v>
      </c>
      <c r="E36" s="39" t="s">
        <v>379</v>
      </c>
      <c r="F36" s="149" t="s">
        <v>597</v>
      </c>
      <c r="G36" s="20" t="str">
        <f t="shared" si="1"/>
        <v>HW납품(일회성)</v>
      </c>
      <c r="H36" s="21" t="s">
        <v>268</v>
      </c>
      <c r="I36" s="34">
        <v>45863</v>
      </c>
      <c r="J36" s="41"/>
      <c r="K36" s="41"/>
      <c r="L36" s="16"/>
      <c r="M36" s="4"/>
      <c r="N36" s="4"/>
      <c r="O36" s="16">
        <v>22852000</v>
      </c>
      <c r="P36" s="31" t="s">
        <v>267</v>
      </c>
      <c r="Q36" s="24"/>
      <c r="T36" s="65"/>
      <c r="U36" s="66"/>
    </row>
    <row r="37" spans="2:21" ht="19.2">
      <c r="B37" s="3">
        <f t="shared" ref="B37" si="3">IF(D37&lt;&gt;"",ROW()-6,"")</f>
        <v>31</v>
      </c>
      <c r="C37" s="48" t="s">
        <v>593</v>
      </c>
      <c r="D37" s="21" t="s">
        <v>288</v>
      </c>
      <c r="E37" s="39" t="s">
        <v>379</v>
      </c>
      <c r="F37" s="149" t="s">
        <v>597</v>
      </c>
      <c r="G37" s="20" t="str">
        <f t="shared" si="1"/>
        <v>SW구독료</v>
      </c>
      <c r="H37" s="21" t="s">
        <v>104</v>
      </c>
      <c r="I37" s="34">
        <v>45863</v>
      </c>
      <c r="J37" s="41">
        <v>45870</v>
      </c>
      <c r="K37" s="41">
        <v>46965</v>
      </c>
      <c r="L37" s="16">
        <v>35000</v>
      </c>
      <c r="M37" s="4">
        <v>108</v>
      </c>
      <c r="N37" s="4"/>
      <c r="O37" s="16">
        <v>3780000</v>
      </c>
      <c r="P37" s="31" t="s">
        <v>267</v>
      </c>
      <c r="Q37" s="24"/>
      <c r="T37" s="65"/>
      <c r="U37" s="66"/>
    </row>
    <row r="38" spans="2:21" ht="19.2">
      <c r="B38" s="3">
        <f t="shared" si="0"/>
        <v>32</v>
      </c>
      <c r="C38" s="48" t="s">
        <v>594</v>
      </c>
      <c r="D38" s="21" t="s">
        <v>288</v>
      </c>
      <c r="E38" s="39" t="s">
        <v>379</v>
      </c>
      <c r="F38" s="149" t="s">
        <v>600</v>
      </c>
      <c r="G38" s="20" t="str">
        <f t="shared" si="1"/>
        <v>LTE구독료</v>
      </c>
      <c r="H38" s="21" t="s">
        <v>607</v>
      </c>
      <c r="I38" s="34">
        <v>45863</v>
      </c>
      <c r="J38" s="41">
        <v>45870</v>
      </c>
      <c r="K38" s="41">
        <v>46965</v>
      </c>
      <c r="L38" s="16">
        <v>35000</v>
      </c>
      <c r="M38" s="4">
        <v>36</v>
      </c>
      <c r="N38" s="4"/>
      <c r="O38" s="16">
        <v>1368000</v>
      </c>
      <c r="P38" s="31" t="s">
        <v>267</v>
      </c>
      <c r="Q38" s="24"/>
      <c r="T38" s="65"/>
      <c r="U38" s="66"/>
    </row>
    <row r="39" spans="2:21" ht="19.2">
      <c r="B39" s="3">
        <f t="shared" si="0"/>
        <v>33</v>
      </c>
      <c r="C39" s="48" t="s">
        <v>595</v>
      </c>
      <c r="D39" s="21" t="s">
        <v>67</v>
      </c>
      <c r="E39" s="39" t="s">
        <v>380</v>
      </c>
      <c r="F39" s="149" t="s">
        <v>604</v>
      </c>
      <c r="G39" s="20" t="str">
        <f t="shared" si="1"/>
        <v>HW납품(일회성)</v>
      </c>
      <c r="H39" s="21" t="s">
        <v>612</v>
      </c>
      <c r="I39" s="34">
        <v>45713</v>
      </c>
      <c r="J39" s="39"/>
      <c r="K39" s="39"/>
      <c r="L39" s="16"/>
      <c r="M39" s="4"/>
      <c r="N39" s="4"/>
      <c r="O39" s="16">
        <v>25436000</v>
      </c>
      <c r="P39" s="50" t="s">
        <v>105</v>
      </c>
      <c r="Q39" s="24">
        <v>45730</v>
      </c>
      <c r="T39" s="65"/>
      <c r="U39" s="66"/>
    </row>
    <row r="40" spans="2:21" ht="19.2">
      <c r="B40" s="3">
        <f t="shared" si="0"/>
        <v>34</v>
      </c>
      <c r="C40" s="48" t="s">
        <v>596</v>
      </c>
      <c r="D40" s="21" t="s">
        <v>67</v>
      </c>
      <c r="E40" s="39" t="s">
        <v>380</v>
      </c>
      <c r="F40" s="149" t="s">
        <v>604</v>
      </c>
      <c r="G40" s="20" t="str">
        <f t="shared" si="1"/>
        <v>SW구독료</v>
      </c>
      <c r="H40" s="21" t="s">
        <v>104</v>
      </c>
      <c r="I40" s="34">
        <v>45713</v>
      </c>
      <c r="J40" s="41">
        <v>45717</v>
      </c>
      <c r="K40" s="41">
        <v>46081</v>
      </c>
      <c r="L40" s="16">
        <v>35000</v>
      </c>
      <c r="M40" s="4">
        <v>36</v>
      </c>
      <c r="N40" s="4"/>
      <c r="O40" s="16">
        <v>1260000</v>
      </c>
      <c r="P40" s="50" t="s">
        <v>105</v>
      </c>
      <c r="Q40" s="24">
        <v>45730</v>
      </c>
      <c r="T40" s="65"/>
      <c r="U40" s="66"/>
    </row>
    <row r="41" spans="2:21" ht="19.2">
      <c r="B41" s="3">
        <f t="shared" si="0"/>
        <v>35</v>
      </c>
      <c r="C41" s="48" t="s">
        <v>601</v>
      </c>
      <c r="D41" s="21" t="s">
        <v>67</v>
      </c>
      <c r="E41" s="39" t="s">
        <v>380</v>
      </c>
      <c r="F41" s="149" t="s">
        <v>604</v>
      </c>
      <c r="G41" s="20" t="str">
        <f t="shared" si="1"/>
        <v>SW구독료</v>
      </c>
      <c r="H41" s="21" t="s">
        <v>269</v>
      </c>
      <c r="I41" s="34">
        <v>45713</v>
      </c>
      <c r="J41" s="41">
        <v>45717</v>
      </c>
      <c r="K41" s="41">
        <v>46081</v>
      </c>
      <c r="L41" s="16">
        <v>35000</v>
      </c>
      <c r="M41" s="4">
        <v>48</v>
      </c>
      <c r="N41" s="4"/>
      <c r="O41" s="16">
        <v>1680000</v>
      </c>
      <c r="P41" s="50" t="s">
        <v>105</v>
      </c>
      <c r="Q41" s="24">
        <v>45730</v>
      </c>
      <c r="T41" s="65"/>
      <c r="U41" s="66"/>
    </row>
    <row r="42" spans="2:21" ht="19.2">
      <c r="B42" s="3">
        <f t="shared" ref="B42" si="4">IF(D42&lt;&gt;"",ROW()-6,"")</f>
        <v>36</v>
      </c>
      <c r="C42" s="48" t="s">
        <v>606</v>
      </c>
      <c r="D42" s="21" t="s">
        <v>67</v>
      </c>
      <c r="E42" s="39" t="s">
        <v>380</v>
      </c>
      <c r="F42" s="149" t="s">
        <v>605</v>
      </c>
      <c r="G42" s="20" t="str">
        <f t="shared" si="1"/>
        <v>LTE구독료</v>
      </c>
      <c r="H42" s="21" t="s">
        <v>611</v>
      </c>
      <c r="I42" s="34">
        <v>45713</v>
      </c>
      <c r="J42" s="41">
        <v>45717</v>
      </c>
      <c r="K42" s="41">
        <v>46081</v>
      </c>
      <c r="L42" s="16">
        <v>38000</v>
      </c>
      <c r="M42" s="4">
        <v>48</v>
      </c>
      <c r="N42" s="4"/>
      <c r="O42" s="16">
        <v>1824000</v>
      </c>
      <c r="P42" s="50" t="s">
        <v>105</v>
      </c>
      <c r="Q42" s="24">
        <v>45730</v>
      </c>
      <c r="T42" s="65"/>
      <c r="U42" s="66"/>
    </row>
    <row r="43" spans="2:21">
      <c r="B43" s="3"/>
      <c r="C43" s="48"/>
      <c r="D43" s="21"/>
      <c r="E43" s="39"/>
      <c r="F43" s="149"/>
      <c r="G43" s="21"/>
      <c r="H43" s="21"/>
      <c r="I43" s="35"/>
      <c r="J43" s="39"/>
      <c r="K43" s="39"/>
      <c r="L43" s="16"/>
      <c r="M43" s="4"/>
      <c r="N43" s="4"/>
      <c r="O43" s="16"/>
      <c r="P43" s="21"/>
      <c r="Q43" s="5"/>
      <c r="T43" s="65"/>
      <c r="U43" s="66"/>
    </row>
    <row r="44" spans="2:21">
      <c r="B44" s="3"/>
      <c r="C44" s="48"/>
      <c r="D44" s="21"/>
      <c r="E44" s="39"/>
      <c r="F44" s="149"/>
      <c r="G44" s="21"/>
      <c r="H44" s="21"/>
      <c r="I44" s="35"/>
      <c r="J44" s="39"/>
      <c r="K44" s="39"/>
      <c r="L44" s="16"/>
      <c r="M44" s="4"/>
      <c r="N44" s="4"/>
      <c r="O44" s="16"/>
      <c r="P44" s="21"/>
      <c r="Q44" s="5"/>
      <c r="T44" s="65"/>
      <c r="U44" s="66"/>
    </row>
    <row r="45" spans="2:21">
      <c r="B45" s="3"/>
      <c r="C45" s="48"/>
      <c r="D45" s="21"/>
      <c r="E45" s="39"/>
      <c r="F45" s="149"/>
      <c r="G45" s="21"/>
      <c r="H45" s="21"/>
      <c r="I45" s="35"/>
      <c r="J45" s="39"/>
      <c r="K45" s="39"/>
      <c r="L45" s="16"/>
      <c r="M45" s="4"/>
      <c r="N45" s="4"/>
      <c r="O45" s="16"/>
      <c r="P45" s="21"/>
      <c r="Q45" s="5"/>
      <c r="T45" s="65"/>
      <c r="U45" s="66"/>
    </row>
    <row r="46" spans="2:21">
      <c r="B46" s="3"/>
      <c r="C46" s="48"/>
      <c r="D46" s="21"/>
      <c r="E46" s="39"/>
      <c r="F46" s="149"/>
      <c r="G46" s="21"/>
      <c r="H46" s="21"/>
      <c r="I46" s="35"/>
      <c r="J46" s="39"/>
      <c r="K46" s="39"/>
      <c r="L46" s="16"/>
      <c r="M46" s="4"/>
      <c r="N46" s="4"/>
      <c r="O46" s="16"/>
      <c r="P46" s="21"/>
      <c r="Q46" s="5"/>
      <c r="T46" s="65"/>
      <c r="U46" s="66"/>
    </row>
    <row r="47" spans="2:21">
      <c r="B47" s="3"/>
      <c r="C47" s="48"/>
      <c r="D47" s="21"/>
      <c r="E47" s="39"/>
      <c r="F47" s="149"/>
      <c r="G47" s="21"/>
      <c r="I47" s="35"/>
      <c r="J47" s="39"/>
      <c r="K47" s="39"/>
      <c r="L47" s="16"/>
      <c r="M47" s="4"/>
      <c r="N47" s="4"/>
      <c r="O47" s="16"/>
      <c r="P47" s="21"/>
      <c r="Q47" s="5"/>
      <c r="T47" s="65"/>
      <c r="U47" s="66"/>
    </row>
    <row r="48" spans="2:21">
      <c r="B48" s="3"/>
      <c r="C48" s="48"/>
      <c r="D48" s="21"/>
      <c r="E48" s="39"/>
      <c r="F48" s="149"/>
      <c r="G48" s="21"/>
      <c r="H48" s="21"/>
      <c r="I48" s="35"/>
      <c r="J48" s="39"/>
      <c r="K48" s="39"/>
      <c r="L48" s="16"/>
      <c r="M48" s="4"/>
      <c r="N48" s="4"/>
      <c r="O48" s="16"/>
      <c r="P48" s="21"/>
      <c r="Q48" s="5"/>
      <c r="T48" s="65"/>
      <c r="U48" s="66"/>
    </row>
    <row r="49" spans="2:21">
      <c r="B49" s="3"/>
      <c r="C49" s="48"/>
      <c r="D49" s="21"/>
      <c r="E49" s="39"/>
      <c r="F49" s="149"/>
      <c r="G49" s="21"/>
      <c r="H49" s="21"/>
      <c r="I49" s="35"/>
      <c r="J49" s="39"/>
      <c r="K49" s="39"/>
      <c r="L49" s="16"/>
      <c r="M49" s="4"/>
      <c r="N49" s="4"/>
      <c r="O49" s="16"/>
      <c r="P49" s="21"/>
      <c r="Q49" s="5"/>
      <c r="T49" s="65"/>
      <c r="U49" s="66"/>
    </row>
    <row r="50" spans="2:21">
      <c r="B50" s="3"/>
      <c r="C50" s="48"/>
      <c r="D50" s="21"/>
      <c r="E50" s="39"/>
      <c r="F50" s="149"/>
      <c r="G50" s="21"/>
      <c r="H50" s="21"/>
      <c r="I50" s="35"/>
      <c r="J50" s="39"/>
      <c r="K50" s="39"/>
      <c r="L50" s="16"/>
      <c r="M50" s="4"/>
      <c r="N50" s="4"/>
      <c r="O50" s="16"/>
      <c r="P50" s="21"/>
      <c r="Q50" s="5"/>
      <c r="T50" s="65"/>
      <c r="U50" s="66"/>
    </row>
    <row r="51" spans="2:21">
      <c r="B51" s="3"/>
      <c r="C51" s="48"/>
      <c r="D51" s="21"/>
      <c r="E51" s="39"/>
      <c r="F51" s="149"/>
      <c r="G51" s="21"/>
      <c r="H51" s="21"/>
      <c r="I51" s="35"/>
      <c r="J51" s="39"/>
      <c r="K51" s="39"/>
      <c r="L51" s="16"/>
      <c r="M51" s="4"/>
      <c r="N51" s="4"/>
      <c r="O51" s="16"/>
      <c r="P51" s="21"/>
      <c r="Q51" s="5"/>
      <c r="T51" s="65"/>
      <c r="U51" s="66"/>
    </row>
    <row r="52" spans="2:21" ht="18" thickBot="1">
      <c r="B52" s="3"/>
      <c r="C52" s="48"/>
      <c r="D52" s="21"/>
      <c r="E52" s="39"/>
      <c r="F52" s="149"/>
      <c r="G52" s="21"/>
      <c r="H52" s="21"/>
      <c r="I52" s="35"/>
      <c r="J52" s="39"/>
      <c r="K52" s="39"/>
      <c r="L52" s="16"/>
      <c r="M52" s="4"/>
      <c r="N52" s="4"/>
      <c r="O52" s="16"/>
      <c r="P52" s="21"/>
      <c r="Q52" s="5"/>
      <c r="T52" s="68"/>
      <c r="U52" s="70"/>
    </row>
    <row r="53" spans="2:21">
      <c r="B53" s="3"/>
      <c r="C53" s="48"/>
      <c r="D53" s="21"/>
      <c r="E53" s="39"/>
      <c r="F53" s="149"/>
      <c r="G53" s="21"/>
      <c r="H53" s="21"/>
      <c r="I53" s="35"/>
      <c r="J53" s="39"/>
      <c r="K53" s="39"/>
      <c r="L53" s="16"/>
      <c r="M53" s="4"/>
      <c r="N53" s="4"/>
      <c r="O53" s="16"/>
      <c r="P53" s="21"/>
      <c r="Q53" s="5"/>
    </row>
    <row r="54" spans="2:21">
      <c r="B54" s="3"/>
      <c r="C54" s="48"/>
      <c r="D54" s="21"/>
      <c r="E54" s="39"/>
      <c r="F54" s="149"/>
      <c r="G54" s="21"/>
      <c r="H54" s="21"/>
      <c r="I54" s="35"/>
      <c r="J54" s="39"/>
      <c r="K54" s="39"/>
      <c r="L54" s="16"/>
      <c r="M54" s="4"/>
      <c r="N54" s="4"/>
      <c r="O54" s="16"/>
      <c r="P54" s="21"/>
      <c r="Q54" s="5"/>
    </row>
    <row r="55" spans="2:21">
      <c r="B55" s="3"/>
      <c r="C55" s="48"/>
      <c r="D55" s="21"/>
      <c r="E55" s="39"/>
      <c r="F55" s="149"/>
      <c r="G55" s="21"/>
      <c r="H55" s="21"/>
      <c r="I55" s="35"/>
      <c r="J55" s="39"/>
      <c r="K55" s="39"/>
      <c r="L55" s="16"/>
      <c r="M55" s="4"/>
      <c r="N55" s="4"/>
      <c r="O55" s="16"/>
      <c r="P55" s="21"/>
      <c r="Q55" s="5"/>
    </row>
    <row r="56" spans="2:21" ht="18" thickBot="1">
      <c r="B56" s="6"/>
      <c r="C56" s="49"/>
      <c r="D56" s="22"/>
      <c r="E56" s="40"/>
      <c r="F56" s="150"/>
      <c r="G56" s="22"/>
      <c r="H56" s="22"/>
      <c r="I56" s="36"/>
      <c r="J56" s="40"/>
      <c r="K56" s="40"/>
      <c r="L56" s="17"/>
      <c r="M56" s="7"/>
      <c r="N56" s="7"/>
      <c r="O56" s="17"/>
      <c r="P56" s="22"/>
      <c r="Q56" s="8"/>
    </row>
  </sheetData>
  <mergeCells count="2">
    <mergeCell ref="B4:D4"/>
    <mergeCell ref="T4:U4"/>
  </mergeCells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거래처_판매처정보</vt:lpstr>
      <vt:lpstr>거래_프로젝트정보</vt:lpstr>
      <vt:lpstr>제품_네트워크(WIFI)</vt:lpstr>
      <vt:lpstr>제품_네트워크(LTE)</vt:lpstr>
      <vt:lpstr>거래_체크플러스정보</vt:lpstr>
      <vt:lpstr>제품_제품정보</vt:lpstr>
      <vt:lpstr>거래_거래정보</vt:lpstr>
      <vt:lpstr>세금계산서_세금계산서정보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Office</cp:lastModifiedBy>
  <dcterms:created xsi:type="dcterms:W3CDTF">2015-06-05T18:19:34Z</dcterms:created>
  <dcterms:modified xsi:type="dcterms:W3CDTF">2025-08-27T09:01:07Z</dcterms:modified>
</cp:coreProperties>
</file>